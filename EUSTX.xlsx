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880648\Desktop\"/>
    </mc:Choice>
  </mc:AlternateContent>
  <bookViews>
    <workbookView xWindow="0" yWindow="0" windowWidth="21570" windowHeight="8055" activeTab="3"/>
  </bookViews>
  <sheets>
    <sheet name="EUROSTOX" sheetId="1" r:id="rId1"/>
    <sheet name="VSTOXX" sheetId="2" r:id="rId2"/>
    <sheet name="ACAFP" sheetId="3" r:id="rId3"/>
    <sheet name="Dividend Yield" sheetId="4" r:id="rId4"/>
  </sheets>
  <definedNames>
    <definedName name="SpreadsheetBuilder_1" hidden="1">EUROSTOX!$A$1:$B$7</definedName>
    <definedName name="SpreadsheetBuilder_2" hidden="1">VSTOXX!$A$1:$B$7</definedName>
    <definedName name="SpreadsheetBuilder_3" hidden="1">ACAFP!$A$1:$B$7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2" l="1"/>
  <c r="B5" i="2"/>
  <c r="A7" i="1"/>
  <c r="B5" i="1"/>
  <c r="A7" i="3"/>
  <c r="B5" i="3"/>
  <c r="G21" i="4"/>
  <c r="F20" i="4"/>
  <c r="E19" i="4"/>
  <c r="D18" i="4"/>
  <c r="C17" i="4"/>
  <c r="I13" i="4"/>
  <c r="H12" i="4"/>
  <c r="G11" i="4"/>
  <c r="F10" i="4"/>
  <c r="E9" i="4"/>
  <c r="D8" i="4"/>
  <c r="C7" i="4"/>
  <c r="C12" i="4"/>
  <c r="I21" i="4"/>
  <c r="D14" i="4"/>
  <c r="F8" i="4"/>
  <c r="E18" i="4"/>
  <c r="I12" i="4"/>
  <c r="E8" i="4"/>
  <c r="F21" i="4"/>
  <c r="E20" i="4"/>
  <c r="D19" i="4"/>
  <c r="C18" i="4"/>
  <c r="I14" i="4"/>
  <c r="H13" i="4"/>
  <c r="G12" i="4"/>
  <c r="F11" i="4"/>
  <c r="E10" i="4"/>
  <c r="D9" i="4"/>
  <c r="C8" i="4"/>
  <c r="E13" i="4"/>
  <c r="I9" i="4"/>
  <c r="I20" i="4"/>
  <c r="F17" i="4"/>
  <c r="D13" i="4"/>
  <c r="H9" i="4"/>
  <c r="H20" i="4"/>
  <c r="C13" i="4"/>
  <c r="E7" i="4"/>
  <c r="F19" i="4"/>
  <c r="C14" i="4"/>
  <c r="F9" i="4"/>
  <c r="E21" i="4"/>
  <c r="D20" i="4"/>
  <c r="C19" i="4"/>
  <c r="I17" i="4"/>
  <c r="H14" i="4"/>
  <c r="G13" i="4"/>
  <c r="F12" i="4"/>
  <c r="E11" i="4"/>
  <c r="D10" i="4"/>
  <c r="C9" i="4"/>
  <c r="I7" i="4"/>
  <c r="I19" i="4"/>
  <c r="G17" i="4"/>
  <c r="F14" i="4"/>
  <c r="C11" i="4"/>
  <c r="G7" i="4"/>
  <c r="G18" i="4"/>
  <c r="I10" i="4"/>
  <c r="F7" i="4"/>
  <c r="F18" i="4"/>
  <c r="I11" i="4"/>
  <c r="G9" i="4"/>
  <c r="H21" i="4"/>
  <c r="H11" i="4"/>
  <c r="D7" i="4"/>
  <c r="D21" i="4"/>
  <c r="C20" i="4"/>
  <c r="I18" i="4"/>
  <c r="H17" i="4"/>
  <c r="G14" i="4"/>
  <c r="F13" i="4"/>
  <c r="E12" i="4"/>
  <c r="D11" i="4"/>
  <c r="C10" i="4"/>
  <c r="I8" i="4"/>
  <c r="H7" i="4"/>
  <c r="C21" i="4"/>
  <c r="H18" i="4"/>
  <c r="D12" i="4"/>
  <c r="H8" i="4"/>
  <c r="H19" i="4"/>
  <c r="E14" i="4"/>
  <c r="G8" i="4"/>
  <c r="G19" i="4"/>
  <c r="E17" i="4"/>
  <c r="H10" i="4"/>
  <c r="G20" i="4"/>
  <c r="D17" i="4"/>
  <c r="G10" i="4"/>
</calcChain>
</file>

<file path=xl/sharedStrings.xml><?xml version="1.0" encoding="utf-8"?>
<sst xmlns="http://schemas.openxmlformats.org/spreadsheetml/2006/main" count="67" uniqueCount="59">
  <si>
    <t>Data iniziale</t>
  </si>
  <si>
    <t>Data finale</t>
  </si>
  <si>
    <t>SX5E Index</t>
  </si>
  <si>
    <t>Dates</t>
  </si>
  <si>
    <t>PX_LAST</t>
  </si>
  <si>
    <t>V2X Index</t>
  </si>
  <si>
    <t>EURO STOXX 50 Price EUR (SX5E) - Dati salienti</t>
  </si>
  <si>
    <t>CY 2019</t>
  </si>
  <si>
    <t>CY 2020</t>
  </si>
  <si>
    <t>CY 2021</t>
  </si>
  <si>
    <t>CY 2022</t>
  </si>
  <si>
    <t>CY 2023</t>
  </si>
  <si>
    <t>CY 2024</t>
  </si>
  <si>
    <t>CY 2025</t>
  </si>
  <si>
    <t>Corrente</t>
  </si>
  <si>
    <t>CY 2026 Stm</t>
  </si>
  <si>
    <t>CY 2027 Stm</t>
  </si>
  <si>
    <t>fine di 12 mesi</t>
  </si>
  <si>
    <t>12/31/2019</t>
  </si>
  <si>
    <t>12/31/2020</t>
  </si>
  <si>
    <t>12/31/2021</t>
  </si>
  <si>
    <t>12/30/2022</t>
  </si>
  <si>
    <t>12/29/2023</t>
  </si>
  <si>
    <t>12/31/2024</t>
  </si>
  <si>
    <t>12/31/2025</t>
  </si>
  <si>
    <t>03/30/2026</t>
  </si>
  <si>
    <t>12/31/2026</t>
  </si>
  <si>
    <t>12/31/2027</t>
  </si>
  <si>
    <t>Metriche valutazione</t>
  </si>
  <si>
    <t>P/E</t>
  </si>
  <si>
    <t>INDX_ADJ_PE</t>
  </si>
  <si>
    <t>Prezzo/Utili ante XO, Positivo</t>
  </si>
  <si>
    <t>PX_POS_EARN_BEFORE_XO_ITEMS</t>
  </si>
  <si>
    <t>Prezzo/Utili ante XO</t>
  </si>
  <si>
    <t>PE_BEF_XO_AGGTE</t>
  </si>
  <si>
    <t>Prz/Book Value</t>
  </si>
  <si>
    <t>PX_TO_BOOK_RATIO</t>
  </si>
  <si>
    <t>EV/Sales</t>
  </si>
  <si>
    <t>CURRENT_EV_TO_12M_SALES</t>
  </si>
  <si>
    <t>EV/EBIT</t>
  </si>
  <si>
    <t>CURRENT_EV_TO_T12M_EBIT</t>
  </si>
  <si>
    <t>EV/EBITDA</t>
  </si>
  <si>
    <t>CURRENT_EV_TO_T12M_EBITDA</t>
  </si>
  <si>
    <t>Rendimento dividendo</t>
  </si>
  <si>
    <t>EQY_DVD_YLD_12M</t>
  </si>
  <si>
    <t>Fondamentali</t>
  </si>
  <si>
    <t>Margine lordo</t>
  </si>
  <si>
    <t>GROSS_MARGIN</t>
  </si>
  <si>
    <t>Margine Operativo</t>
  </si>
  <si>
    <t>OPER_MARGIN</t>
  </si>
  <si>
    <t>Marg profitto</t>
  </si>
  <si>
    <t>TRAIL_12M_PROF_MARGIN</t>
  </si>
  <si>
    <t>Redditività attivi</t>
  </si>
  <si>
    <t>RETURN_ON_ASSET</t>
  </si>
  <si>
    <t>Redditività ROE</t>
  </si>
  <si>
    <t>RETURN_COM_EQY</t>
  </si>
  <si>
    <t>Fonte: Bloomberg</t>
  </si>
  <si>
    <t>Tasto destro per i dati trasparenza (non valido per tutti i valori)</t>
  </si>
  <si>
    <t>ACA FP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</si>
</sst>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7">
    <xf numFmtId="0" fontId="0" fillId="0" borderId="0"/>
    <xf numFmtId="0" fontId="1" fillId="2" borderId="0"/>
    <xf numFmtId="0" fontId="2" fillId="2" borderId="1" applyNumberFormat="0" applyProtection="0">
      <alignment horizontal="left" vertical="center" readingOrder="1"/>
    </xf>
    <xf numFmtId="0" fontId="3" fillId="3" borderId="0" applyNumberFormat="0" applyBorder="0" applyProtection="0">
      <alignment horizontal="center"/>
    </xf>
    <xf numFmtId="0" fontId="4" fillId="2" borderId="2">
      <alignment horizontal="left"/>
    </xf>
    <xf numFmtId="0" fontId="4" fillId="2" borderId="2">
      <alignment horizontal="right"/>
    </xf>
    <xf numFmtId="0" fontId="4" fillId="2" borderId="3">
      <alignment horizontal="left"/>
    </xf>
    <xf numFmtId="0" fontId="4" fillId="2" borderId="3">
      <alignment horizontal="right"/>
    </xf>
    <xf numFmtId="0" fontId="5" fillId="3" borderId="4"/>
    <xf numFmtId="3" fontId="5" fillId="3" borderId="5">
      <alignment horizontal="right"/>
    </xf>
    <xf numFmtId="3" fontId="5" fillId="4" borderId="5">
      <alignment horizontal="right"/>
    </xf>
    <xf numFmtId="0" fontId="6" fillId="3" borderId="4"/>
    <xf numFmtId="4" fontId="7" fillId="3" borderId="5">
      <alignment horizontal="right"/>
    </xf>
    <xf numFmtId="4" fontId="7" fillId="4" borderId="5">
      <alignment horizontal="right"/>
    </xf>
    <xf numFmtId="3" fontId="7" fillId="3" borderId="5">
      <alignment horizontal="right"/>
    </xf>
    <xf numFmtId="3" fontId="7" fillId="4" borderId="5">
      <alignment horizontal="right"/>
    </xf>
    <xf numFmtId="0" fontId="8" fillId="5" borderId="6" applyNumberFormat="0" applyAlignment="0" applyProtection="0"/>
  </cellStyleXfs>
  <cellXfs count="23">
    <xf numFmtId="0" fontId="0" fillId="0" borderId="0" xfId="0"/>
    <xf numFmtId="14" fontId="0" fillId="0" borderId="0" xfId="0" applyNumberFormat="1"/>
    <xf numFmtId="14" fontId="0" fillId="0" borderId="0" xfId="0" applyNumberFormat="1"/>
    <xf numFmtId="0" fontId="1" fillId="2" borderId="0" xfId="1" applyNumberFormat="1" applyFont="1" applyFill="1" applyBorder="1" applyAlignment="1" applyProtection="1"/>
    <xf numFmtId="0" fontId="2" fillId="2" borderId="1" xfId="2" applyFont="1" applyFill="1" applyBorder="1" applyAlignment="1">
      <alignment horizontal="left" vertical="center" readingOrder="1"/>
    </xf>
    <xf numFmtId="0" fontId="3" fillId="3" borderId="0" xfId="3" applyFont="1" applyFill="1" applyAlignment="1">
      <alignment horizontal="center"/>
    </xf>
    <xf numFmtId="0" fontId="4" fillId="2" borderId="2" xfId="4" applyNumberFormat="1" applyFont="1" applyFill="1" applyBorder="1" applyAlignment="1" applyProtection="1">
      <alignment horizontal="left"/>
    </xf>
    <xf numFmtId="0" fontId="4" fillId="2" borderId="2" xfId="5" applyNumberFormat="1" applyFont="1" applyFill="1" applyBorder="1" applyAlignment="1" applyProtection="1">
      <alignment horizontal="right"/>
    </xf>
    <xf numFmtId="0" fontId="4" fillId="2" borderId="3" xfId="6">
      <alignment horizontal="left"/>
    </xf>
    <xf numFmtId="0" fontId="4" fillId="2" borderId="3" xfId="7" applyNumberFormat="1" applyFont="1" applyFill="1" applyBorder="1" applyAlignment="1" applyProtection="1">
      <alignment horizontal="right"/>
    </xf>
    <xf numFmtId="0" fontId="5" fillId="3" borderId="4" xfId="8" applyNumberFormat="1" applyFont="1" applyFill="1" applyBorder="1" applyAlignment="1" applyProtection="1"/>
    <xf numFmtId="3" fontId="5" fillId="3" borderId="5" xfId="9" applyNumberFormat="1" applyFont="1" applyFill="1" applyBorder="1" applyAlignment="1" applyProtection="1">
      <alignment horizontal="right"/>
    </xf>
    <xf numFmtId="3" fontId="5" fillId="4" borderId="5" xfId="10" applyNumberFormat="1" applyFont="1" applyFill="1" applyBorder="1" applyAlignment="1" applyProtection="1">
      <alignment horizontal="right"/>
    </xf>
    <xf numFmtId="0" fontId="6" fillId="3" borderId="4" xfId="11" applyNumberFormat="1" applyFont="1" applyFill="1" applyBorder="1" applyAlignment="1" applyProtection="1"/>
    <xf numFmtId="4" fontId="7" fillId="3" borderId="5" xfId="12" applyNumberFormat="1" applyFont="1" applyFill="1" applyBorder="1" applyAlignment="1" applyProtection="1">
      <alignment horizontal="right"/>
    </xf>
    <xf numFmtId="4" fontId="7" fillId="4" borderId="5" xfId="13" applyNumberFormat="1" applyFont="1" applyFill="1" applyBorder="1" applyAlignment="1" applyProtection="1">
      <alignment horizontal="right"/>
    </xf>
    <xf numFmtId="3" fontId="7" fillId="3" borderId="5" xfId="14" applyNumberFormat="1" applyFont="1" applyFill="1" applyBorder="1" applyAlignment="1" applyProtection="1">
      <alignment horizontal="right"/>
    </xf>
    <xf numFmtId="3" fontId="7" fillId="4" borderId="5" xfId="15" applyNumberFormat="1" applyFont="1" applyFill="1" applyBorder="1" applyAlignment="1" applyProtection="1">
      <alignment horizontal="right"/>
    </xf>
    <xf numFmtId="0" fontId="8" fillId="5" borderId="6" xfId="16" applyFont="1" applyFill="1" applyBorder="1"/>
    <xf numFmtId="0" fontId="6" fillId="6" borderId="4" xfId="11" applyNumberFormat="1" applyFont="1" applyFill="1" applyBorder="1" applyAlignment="1" applyProtection="1"/>
    <xf numFmtId="4" fontId="7" fillId="6" borderId="5" xfId="12" applyNumberFormat="1" applyFont="1" applyFill="1" applyBorder="1" applyAlignment="1" applyProtection="1">
      <alignment horizontal="right"/>
    </xf>
    <xf numFmtId="4" fontId="7" fillId="6" borderId="5" xfId="13" applyNumberFormat="1" applyFont="1" applyFill="1" applyBorder="1" applyAlignment="1" applyProtection="1">
      <alignment horizontal="right"/>
    </xf>
    <xf numFmtId="164" fontId="0" fillId="0" borderId="0" xfId="0" applyNumberFormat="1"/>
  </cellXfs>
  <cellStyles count="17">
    <cellStyle name="blp_column_header" xfId="1"/>
    <cellStyle name="blp_title_header_row_left" xfId="2"/>
    <cellStyle name="fa_column_header_bottom" xfId="7"/>
    <cellStyle name="fa_column_header_bottom_left" xfId="6"/>
    <cellStyle name="fa_column_header_empty" xfId="3"/>
    <cellStyle name="fa_column_header_top" xfId="5"/>
    <cellStyle name="fa_column_header_top_left" xfId="4"/>
    <cellStyle name="fa_data_bold_0_grouped" xfId="9"/>
    <cellStyle name="fa_data_current_bold_0_grouped" xfId="10"/>
    <cellStyle name="fa_data_current_standard_0_grouped" xfId="15"/>
    <cellStyle name="fa_data_current_standard_2_grouped" xfId="13"/>
    <cellStyle name="fa_data_standard_0_grouped" xfId="14"/>
    <cellStyle name="fa_data_standard_2_grouped" xfId="12"/>
    <cellStyle name="fa_footer_italic" xfId="16"/>
    <cellStyle name="fa_row_header_bold" xfId="8"/>
    <cellStyle name="fa_row_header_standard" xfId="1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BDH|13386242890752607074</stp>
        <tr r="H7" s="4"/>
      </tp>
      <tp t="s">
        <v>#N/A N/A</v>
        <stp/>
        <stp>BDH|13073130514383265813</stp>
        <tr r="C13" s="4"/>
      </tp>
      <tp t="s">
        <v>#N/A N/A</v>
        <stp/>
        <stp>BDH|16621980493436854816</stp>
        <tr r="G18" s="4"/>
      </tp>
      <tp t="s">
        <v>#N/A N/A</v>
        <stp/>
        <stp>BDH|16012944947857975436</stp>
        <tr r="I7" s="4"/>
      </tp>
      <tp t="s">
        <v>#N/A N/A</v>
        <stp/>
        <stp>BDH|15952965290839482479</stp>
        <tr r="C11" s="4"/>
      </tp>
      <tp t="s">
        <v>#N/A N/A</v>
        <stp/>
        <stp>BDH|18065077802748326919</stp>
        <tr r="E18" s="4"/>
      </tp>
      <tp t="s">
        <v>#N/A N/A</v>
        <stp/>
        <stp>BDH|10069804429466676509</stp>
        <tr r="G13" s="4"/>
      </tp>
      <tp t="s">
        <v>#N/A N/A</v>
        <stp/>
        <stp>BDH|13949981207365452103</stp>
        <tr r="I12" s="4"/>
      </tp>
      <tp t="s">
        <v>#N/A N/A</v>
        <stp/>
        <stp>BDH|17039411935327193923</stp>
        <tr r="D14" s="4"/>
      </tp>
      <tp t="s">
        <v>#N/A N/A</v>
        <stp/>
        <stp>BDH|17140986655133178744</stp>
        <tr r="H17" s="4"/>
      </tp>
      <tp t="s">
        <v>#N/A N/A</v>
        <stp/>
        <stp>BDH|12530820990878320769</stp>
        <tr r="H12" s="4"/>
      </tp>
      <tp t="s">
        <v>#N/A N/A</v>
        <stp/>
        <stp>BDH|14751817331963482078</stp>
        <tr r="H21" s="4"/>
      </tp>
      <tp t="s">
        <v>#N/A N/A</v>
        <stp/>
        <stp>BDH|14194918493359401040</stp>
        <tr r="D12" s="4"/>
      </tp>
      <tp t="s">
        <v>#N/A N/A</v>
        <stp/>
        <stp>BDH|18249608179244605071</stp>
        <tr r="D20" s="4"/>
      </tp>
      <tp t="s">
        <v>#N/A N/A</v>
        <stp/>
        <stp>BDH|10998950179887866429</stp>
        <tr r="C20" s="4"/>
      </tp>
      <tp t="s">
        <v>#N/A N/A</v>
        <stp/>
        <stp>BDH|10129330901579540825</stp>
        <tr r="D17" s="4"/>
      </tp>
      <tp t="s">
        <v>#N/A N/A</v>
        <stp/>
        <stp>BDH|17579966190885035047</stp>
        <tr r="H10" s="4"/>
      </tp>
      <tp t="s">
        <v>#N/A N/A</v>
        <stp/>
        <stp>BDH|16607216791098961793</stp>
        <tr r="D8" s="4"/>
      </tp>
      <tp t="s">
        <v>#N/A N/A</v>
        <stp/>
        <stp>BDH|13531520700065617175</stp>
        <tr r="F8" s="4"/>
      </tp>
      <tp t="s">
        <v>#N/A N/A</v>
        <stp/>
        <stp>BDH|18272390052174508853</stp>
        <tr r="E9" s="4"/>
      </tp>
      <tp t="s">
        <v>#N/A N/A</v>
        <stp/>
        <stp>BDH|11216542740451819310</stp>
        <tr r="H9" s="4"/>
      </tp>
      <tp t="s">
        <v>#N/A N/A</v>
        <stp/>
        <stp>BDH|11488312078343505589</stp>
        <tr r="I20" s="4"/>
      </tp>
      <tp t="s">
        <v>#N/A N/A</v>
        <stp/>
        <stp>BDH|14810188536896789320</stp>
        <tr r="H19" s="4"/>
      </tp>
      <tp t="s">
        <v>#N/A N/A</v>
        <stp/>
        <stp>BDH|11085678443957279795</stp>
        <tr r="H18" s="4"/>
      </tp>
      <tp t="s">
        <v>#N/A N/A</v>
        <stp/>
        <stp>BDH|18342712988864156304</stp>
        <tr r="I11" s="4"/>
      </tp>
      <tp t="s">
        <v>#N/A N/A</v>
        <stp/>
        <stp>BDH|13066690138053435411</stp>
        <tr r="F21" s="4"/>
      </tp>
      <tp t="s">
        <v>#N/A N/A</v>
        <stp/>
        <stp>BDH|11561813143638819493</stp>
        <tr r="C17" s="4"/>
      </tp>
      <tp t="s">
        <v>#N/A N/A</v>
        <stp/>
        <stp>BDH|17005161969985195438</stp>
        <tr r="C7" s="4"/>
      </tp>
      <tp t="s">
        <v>#N/A N/A</v>
        <stp/>
        <stp>BDH|18327746392005788523</stp>
        <tr r="G19" s="4"/>
      </tp>
      <tp t="s">
        <v>#N/A N/A</v>
        <stp/>
        <stp>BDH|11227032645082555192</stp>
        <tr r="D7" s="4"/>
      </tp>
      <tp t="s">
        <v>#N/A N/A</v>
        <stp/>
        <stp>BDH|10144153828177330211</stp>
        <tr r="E12" s="4"/>
      </tp>
      <tp t="s">
        <v>#N/A N/A</v>
        <stp/>
        <stp>BDH|13215793468247575193</stp>
        <tr r="F11" s="4"/>
      </tp>
      <tp t="s">
        <v>#N/A N/A</v>
        <stp/>
        <stp>BDH|13852338699729938581</stp>
        <tr r="C9" s="4"/>
      </tp>
      <tp t="s">
        <v>#N/A N/A</v>
        <stp/>
        <stp>BDH|13090675211325007450</stp>
        <tr r="C10" s="4"/>
      </tp>
      <tp t="s">
        <v>#N/A N/A</v>
        <stp/>
        <stp>BDH|18301319296423267445</stp>
        <tr r="I18" s="4"/>
      </tp>
      <tp t="s">
        <v>#N/A N/A</v>
        <stp/>
        <stp>BDH|12262931274019566098</stp>
        <tr r="D18" s="4"/>
      </tp>
      <tp t="s">
        <v>#N/A N/A</v>
        <stp/>
        <stp>BDH|15491994931728466248</stp>
        <tr r="D9" s="4"/>
      </tp>
      <tp t="s">
        <v>#N/A N/A</v>
        <stp/>
        <stp>BDH|13921652374261334644</stp>
        <tr r="E8" s="4"/>
      </tp>
    </main>
    <main first="bloomberg.rtd">
      <tp t="s">
        <v>Last Price</v>
        <stp/>
        <stp>##V3_BFIELDINFOV12</stp>
        <stp>[EUSTX.xlsx]ACAFP!R5C2</stp>
        <stp>PX_LAST</stp>
        <tr r="B5" s="3"/>
      </tp>
    </main>
    <main first="bofaddin.rtdserver">
      <tp t="s">
        <v>#N/A N/A</v>
        <stp/>
        <stp>BDH|7183784357761318876</stp>
        <tr r="G14" s="4"/>
      </tp>
      <tp t="s">
        <v>#N/A N/A</v>
        <stp/>
        <stp>BDH|3770574209713428878</stp>
        <tr r="C14" s="4"/>
      </tp>
      <tp t="s">
        <v>#N/A N/A</v>
        <stp/>
        <stp>BDH|2358300517115798885</stp>
        <tr r="A7" s="3"/>
      </tp>
      <tp t="s">
        <v>#N/A N/A</v>
        <stp/>
        <stp>BDH|9637330004743915410</stp>
        <tr r="G17" s="4"/>
      </tp>
      <tp t="s">
        <v>#N/A N/A</v>
        <stp/>
        <stp>BDH|4452544280604763090</stp>
        <tr r="D10" s="4"/>
      </tp>
    </main>
    <main first="bofaddin.rtdserver">
      <tp t="s">
        <v>#N/A N/A</v>
        <stp/>
        <stp>BDH|6045947636422733094</stp>
        <tr r="E17" s="4"/>
      </tp>
      <tp t="s">
        <v>#N/A N/A</v>
        <stp/>
        <stp>BDH|2918854148171595112</stp>
        <tr r="F19" s="4"/>
      </tp>
      <tp t="s">
        <v>#N/A N/A</v>
        <stp/>
        <stp>BDH|1582801446875290644</stp>
        <tr r="G7" s="4"/>
      </tp>
      <tp t="s">
        <v>#N/A N/A</v>
        <stp/>
        <stp>BDH|7793132583967802673</stp>
        <tr r="I19" s="4"/>
      </tp>
      <tp t="s">
        <v>#N/A N/A</v>
        <stp/>
        <stp>BDH|9375267196525477897</stp>
        <tr r="F12" s="4"/>
      </tp>
      <tp t="s">
        <v>#N/A N/A</v>
        <stp/>
        <stp>BDH|7316293356268905762</stp>
        <tr r="I21" s="4"/>
      </tp>
      <tp t="s">
        <v>#N/A N/A</v>
        <stp/>
        <stp>BDH|7509276883410655240</stp>
        <tr r="E19" s="4"/>
      </tp>
      <tp t="s">
        <v>#N/A N/A</v>
        <stp/>
        <stp>BDH|9921249170063976028</stp>
        <tr r="F10" s="4"/>
      </tp>
      <tp t="s">
        <v>#N/A N/A</v>
        <stp/>
        <stp>BDH|7061688289985067349</stp>
        <tr r="I17" s="4"/>
      </tp>
      <tp t="s">
        <v>#N/A N/A</v>
        <stp/>
        <stp>BDH|4554247793951363633</stp>
        <tr r="H20" s="4"/>
      </tp>
      <tp t="s">
        <v>#N/A N/A</v>
        <stp/>
        <stp>BDH|8154299055810702639</stp>
        <tr r="G20" s="4"/>
      </tp>
      <tp t="s">
        <v>#N/A N/A</v>
        <stp/>
        <stp>BDH|9635229944821565782</stp>
        <tr r="E13" s="4"/>
      </tp>
      <tp t="s">
        <v>#N/A N/A</v>
        <stp/>
        <stp>BDH|1071734611038740688</stp>
        <tr r="G10" s="4"/>
      </tp>
      <tp t="b">
        <v>0</v>
        <stp/>
        <stp>BDH|7880695902320854885</stp>
        <tr r="A7" s="1"/>
      </tp>
      <tp t="s">
        <v>#N/A N/A</v>
        <stp/>
        <stp>BDH|9501233221540686049</stp>
        <tr r="I8" s="4"/>
      </tp>
    </main>
    <main first="bloomberg.rtd">
      <tp t="b">
        <v>0</v>
        <stp/>
        <stp>##V3_BFIELDINFOV12</stp>
        <stp>[Book3]Sheet2!R5C2</stp>
        <stp>PX_LAST</stp>
        <tr r="B5" s="2"/>
      </tp>
      <tp t="b">
        <v>0</v>
        <stp/>
        <stp>##V3_BFIELDINFOV12</stp>
        <stp>[Book3]Sheet1!R5C2</stp>
        <stp>PX_LAST</stp>
        <tr r="B5" s="1"/>
      </tp>
    </main>
    <main first="bofaddin.rtdserver">
      <tp t="s">
        <v>#N/A N/A</v>
        <stp/>
        <stp>BDH|3090882714791751136</stp>
        <tr r="G12" s="4"/>
      </tp>
      <tp t="s">
        <v>#N/A N/A</v>
        <stp/>
        <stp>BDH|8433501618631813717</stp>
        <tr r="C19" s="4"/>
      </tp>
      <tp t="s">
        <v>#N/A N/A</v>
        <stp/>
        <stp>BDH|9334483173144322593</stp>
        <tr r="E7" s="4"/>
      </tp>
      <tp t="s">
        <v>#N/A N/A</v>
        <stp/>
        <stp>BDH|2533915354751712478</stp>
        <tr r="G8" s="4"/>
      </tp>
      <tp t="s">
        <v>#N/A N/A</v>
        <stp/>
        <stp>BDH|6715247035274226816</stp>
        <tr r="D19" s="4"/>
      </tp>
      <tp t="s">
        <v>#N/A N/A</v>
        <stp/>
        <stp>BDH|7971890381616999512</stp>
        <tr r="E11" s="4"/>
      </tp>
      <tp t="s">
        <v>#N/A N/A</v>
        <stp/>
        <stp>BDH|5226704383789848777</stp>
        <tr r="H13" s="4"/>
      </tp>
      <tp t="s">
        <v>#N/A N/A</v>
        <stp/>
        <stp>BDH|4921659725916070290</stp>
        <tr r="I10" s="4"/>
      </tp>
      <tp t="s">
        <v>#N/A N/A</v>
        <stp/>
        <stp>BDH|6200317641603185706</stp>
        <tr r="F7" s="4"/>
      </tp>
      <tp t="s">
        <v>#N/A N/A</v>
        <stp/>
        <stp>BDH|8034452494585896597</stp>
        <tr r="I13" s="4"/>
      </tp>
      <tp t="s">
        <v>#N/A N/A</v>
        <stp/>
        <stp>BDH|1701931732857645966</stp>
        <tr r="E20" s="4"/>
      </tp>
      <tp t="s">
        <v>#N/A N/A</v>
        <stp/>
        <stp>BDH|6430854686857621458</stp>
        <tr r="F20" s="4"/>
      </tp>
      <tp t="s">
        <v>#N/A N/A</v>
        <stp/>
        <stp>BDH|2708545763725795291</stp>
        <tr r="F13" s="4"/>
      </tp>
      <tp t="s">
        <v>#N/A N/A</v>
        <stp/>
        <stp>BDH|5523280146674283155</stp>
        <tr r="I14" s="4"/>
      </tp>
      <tp t="s">
        <v>#N/A N/A</v>
        <stp/>
        <stp>BDH|1276004825456293396</stp>
        <tr r="F17" s="4"/>
      </tp>
      <tp t="s">
        <v>#N/A N/A</v>
        <stp/>
        <stp>BDH|1851140077306880736</stp>
        <tr r="C12" s="4"/>
      </tp>
      <tp t="s">
        <v>#N/A N/A</v>
        <stp/>
        <stp>BDH|2586698780722079965</stp>
        <tr r="G11" s="4"/>
      </tp>
      <tp t="s">
        <v>#N/A N/A</v>
        <stp/>
        <stp>BDH|3873366160787728684</stp>
        <tr r="C21" s="4"/>
      </tp>
      <tp t="b">
        <v>0</v>
        <stp/>
        <stp>BDH|3619581604767123153</stp>
        <tr r="A7" s="2"/>
      </tp>
      <tp t="s">
        <v>#N/A N/A</v>
        <stp/>
        <stp>BDH|3960408932374305076</stp>
        <tr r="H8" s="4"/>
      </tp>
      <tp t="s">
        <v>#N/A N/A</v>
        <stp/>
        <stp>BDH|4275788057395513352</stp>
        <tr r="C18" s="4"/>
      </tp>
      <tp t="s">
        <v>#N/A N/A</v>
        <stp/>
        <stp>BDH|8072313279334988874</stp>
        <tr r="E10" s="4"/>
      </tp>
      <tp t="s">
        <v>#N/A N/A</v>
        <stp/>
        <stp>BDH|7556705600040751069</stp>
        <tr r="D21" s="4"/>
      </tp>
      <tp t="s">
        <v>#N/A N/A</v>
        <stp/>
        <stp>BDH|6541739177403308785</stp>
        <tr r="H14" s="4"/>
      </tp>
      <tp t="s">
        <v>#N/A N/A</v>
        <stp/>
        <stp>BDH|9793580566569686170</stp>
        <tr r="G9" s="4"/>
      </tp>
      <tp t="s">
        <v>#N/A N/A</v>
        <stp/>
        <stp>BDH|9978970561592471677</stp>
        <tr r="H11" s="4"/>
      </tp>
      <tp t="s">
        <v>#N/A N/A</v>
        <stp/>
        <stp>BDH|3361317643802370406</stp>
        <tr r="D11" s="4"/>
      </tp>
      <tp t="s">
        <v>#N/A N/A</v>
        <stp/>
        <stp>BDH|4274103432332524633</stp>
        <tr r="E14" s="4"/>
      </tp>
      <tp t="s">
        <v>#N/A N/A</v>
        <stp/>
        <stp>BDH|8669311219621436838</stp>
        <tr r="E21" s="4"/>
      </tp>
      <tp t="s">
        <v>#N/A N/A</v>
        <stp/>
        <stp>BDH|5913342831822279423</stp>
        <tr r="F18" s="4"/>
      </tp>
      <tp t="s">
        <v>#N/A N/A</v>
        <stp/>
        <stp>BDH|580394298424616867</stp>
        <tr r="I9" s="4"/>
      </tp>
      <tp t="s">
        <v>#N/A N/A</v>
        <stp/>
        <stp>BDH|618783303257594175</stp>
        <tr r="F14" s="4"/>
      </tp>
      <tp t="s">
        <v>#N/A N/A</v>
        <stp/>
        <stp>BDH|358688249544324796</stp>
        <tr r="F9" s="4"/>
      </tp>
      <tp t="s">
        <v>#N/A N/A</v>
        <stp/>
        <stp>BDH|748903130369776214</stp>
        <tr r="C8" s="4"/>
      </tp>
      <tp t="s">
        <v>#N/A N/A</v>
        <stp/>
        <stp>BDH|692780851710953014</stp>
        <tr r="D13" s="4"/>
      </tp>
      <tp t="s">
        <v>#N/A N/A</v>
        <stp/>
        <stp>BDH|326903733007935781</stp>
        <tr r="G21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8"/>
  <sheetViews>
    <sheetView workbookViewId="0"/>
  </sheetViews>
  <sheetFormatPr defaultRowHeight="15" x14ac:dyDescent="0.25"/>
  <cols>
    <col min="1" max="1" width="11.85546875" bestFit="1" customWidth="1"/>
    <col min="2" max="2" width="22.5703125" bestFit="1" customWidth="1"/>
  </cols>
  <sheetData>
    <row r="1" spans="1:2" x14ac:dyDescent="0.25">
      <c r="A1" t="s">
        <v>0</v>
      </c>
      <c r="B1" s="1">
        <v>45380</v>
      </c>
    </row>
    <row r="2" spans="1:2" x14ac:dyDescent="0.25">
      <c r="A2" t="s">
        <v>1</v>
      </c>
    </row>
    <row r="4" spans="1:2" x14ac:dyDescent="0.25">
      <c r="B4" t="s">
        <v>2</v>
      </c>
    </row>
    <row r="5" spans="1:2" x14ac:dyDescent="0.25">
      <c r="B5" t="str">
        <f>_xll.BFieldInfo(B$6)</f>
        <v>#N/A Requesting Data...</v>
      </c>
    </row>
    <row r="6" spans="1:2" x14ac:dyDescent="0.25">
      <c r="A6" t="s">
        <v>3</v>
      </c>
      <c r="B6" t="s">
        <v>4</v>
      </c>
    </row>
    <row r="7" spans="1:2" x14ac:dyDescent="0.25">
      <c r="A7" s="2">
        <f>_xll.BDH(B$4,B$6,$B1,$B2,"Dir=V","Dts=S","cols=2;rows=512")</f>
        <v>45384</v>
      </c>
      <c r="B7">
        <v>5042</v>
      </c>
    </row>
    <row r="8" spans="1:2" x14ac:dyDescent="0.25">
      <c r="A8" s="2">
        <v>45385</v>
      </c>
      <c r="B8">
        <v>5069.25</v>
      </c>
    </row>
    <row r="9" spans="1:2" x14ac:dyDescent="0.25">
      <c r="A9" s="2">
        <v>45386</v>
      </c>
      <c r="B9">
        <v>5070.76</v>
      </c>
    </row>
    <row r="10" spans="1:2" x14ac:dyDescent="0.25">
      <c r="A10" s="2">
        <v>45387</v>
      </c>
      <c r="B10">
        <v>5014.75</v>
      </c>
    </row>
    <row r="11" spans="1:2" x14ac:dyDescent="0.25">
      <c r="A11" s="2">
        <v>45390</v>
      </c>
      <c r="B11">
        <v>5046.05</v>
      </c>
    </row>
    <row r="12" spans="1:2" x14ac:dyDescent="0.25">
      <c r="A12" s="2">
        <v>45391</v>
      </c>
      <c r="B12">
        <v>4990.8999999999996</v>
      </c>
    </row>
    <row r="13" spans="1:2" x14ac:dyDescent="0.25">
      <c r="A13" s="2">
        <v>45392</v>
      </c>
      <c r="B13">
        <v>5000.83</v>
      </c>
    </row>
    <row r="14" spans="1:2" x14ac:dyDescent="0.25">
      <c r="A14" s="2">
        <v>45393</v>
      </c>
      <c r="B14">
        <v>4966.68</v>
      </c>
    </row>
    <row r="15" spans="1:2" x14ac:dyDescent="0.25">
      <c r="A15" s="2">
        <v>45394</v>
      </c>
      <c r="B15">
        <v>4955.01</v>
      </c>
    </row>
    <row r="16" spans="1:2" x14ac:dyDescent="0.25">
      <c r="A16" s="2">
        <v>45397</v>
      </c>
      <c r="B16">
        <v>4984.4799999999996</v>
      </c>
    </row>
    <row r="17" spans="1:2" x14ac:dyDescent="0.25">
      <c r="A17" s="2">
        <v>45398</v>
      </c>
      <c r="B17">
        <v>4916.99</v>
      </c>
    </row>
    <row r="18" spans="1:2" x14ac:dyDescent="0.25">
      <c r="A18" s="2">
        <v>45399</v>
      </c>
      <c r="B18">
        <v>4914.13</v>
      </c>
    </row>
    <row r="19" spans="1:2" x14ac:dyDescent="0.25">
      <c r="A19" s="2">
        <v>45400</v>
      </c>
      <c r="B19">
        <v>4936.57</v>
      </c>
    </row>
    <row r="20" spans="1:2" x14ac:dyDescent="0.25">
      <c r="A20" s="2">
        <v>45401</v>
      </c>
      <c r="B20">
        <v>4918.09</v>
      </c>
    </row>
    <row r="21" spans="1:2" x14ac:dyDescent="0.25">
      <c r="A21" s="2">
        <v>45404</v>
      </c>
      <c r="B21">
        <v>4936.8500000000004</v>
      </c>
    </row>
    <row r="22" spans="1:2" x14ac:dyDescent="0.25">
      <c r="A22" s="2">
        <v>45405</v>
      </c>
      <c r="B22">
        <v>5008.17</v>
      </c>
    </row>
    <row r="23" spans="1:2" x14ac:dyDescent="0.25">
      <c r="A23" s="2">
        <v>45406</v>
      </c>
      <c r="B23">
        <v>4989.88</v>
      </c>
    </row>
    <row r="24" spans="1:2" x14ac:dyDescent="0.25">
      <c r="A24" s="2">
        <v>45407</v>
      </c>
      <c r="B24">
        <v>4939.01</v>
      </c>
    </row>
    <row r="25" spans="1:2" x14ac:dyDescent="0.25">
      <c r="A25" s="2">
        <v>45408</v>
      </c>
      <c r="B25">
        <v>5006.8500000000004</v>
      </c>
    </row>
    <row r="26" spans="1:2" x14ac:dyDescent="0.25">
      <c r="A26" s="2">
        <v>45411</v>
      </c>
      <c r="B26">
        <v>4981.09</v>
      </c>
    </row>
    <row r="27" spans="1:2" x14ac:dyDescent="0.25">
      <c r="A27" s="2">
        <v>45412</v>
      </c>
      <c r="B27">
        <v>4921.22</v>
      </c>
    </row>
    <row r="28" spans="1:2" x14ac:dyDescent="0.25">
      <c r="A28" s="2">
        <v>45413</v>
      </c>
      <c r="B28">
        <v>4921.22</v>
      </c>
    </row>
    <row r="29" spans="1:2" x14ac:dyDescent="0.25">
      <c r="A29" s="2">
        <v>45414</v>
      </c>
      <c r="B29">
        <v>4890.6099999999997</v>
      </c>
    </row>
    <row r="30" spans="1:2" x14ac:dyDescent="0.25">
      <c r="A30" s="2">
        <v>45415</v>
      </c>
      <c r="B30">
        <v>4921.4799999999996</v>
      </c>
    </row>
    <row r="31" spans="1:2" x14ac:dyDescent="0.25">
      <c r="A31" s="2">
        <v>45418</v>
      </c>
      <c r="B31">
        <v>4956.96</v>
      </c>
    </row>
    <row r="32" spans="1:2" x14ac:dyDescent="0.25">
      <c r="A32" s="2">
        <v>45419</v>
      </c>
      <c r="B32">
        <v>5016.1000000000004</v>
      </c>
    </row>
    <row r="33" spans="1:2" x14ac:dyDescent="0.25">
      <c r="A33" s="2">
        <v>45420</v>
      </c>
      <c r="B33">
        <v>5038.17</v>
      </c>
    </row>
    <row r="34" spans="1:2" x14ac:dyDescent="0.25">
      <c r="A34" s="2">
        <v>45421</v>
      </c>
      <c r="B34">
        <v>5054.41</v>
      </c>
    </row>
    <row r="35" spans="1:2" x14ac:dyDescent="0.25">
      <c r="A35" s="2">
        <v>45422</v>
      </c>
      <c r="B35">
        <v>5085.08</v>
      </c>
    </row>
    <row r="36" spans="1:2" x14ac:dyDescent="0.25">
      <c r="A36" s="2">
        <v>45425</v>
      </c>
      <c r="B36">
        <v>5078.96</v>
      </c>
    </row>
    <row r="37" spans="1:2" x14ac:dyDescent="0.25">
      <c r="A37" s="2">
        <v>45426</v>
      </c>
      <c r="B37">
        <v>5080.29</v>
      </c>
    </row>
    <row r="38" spans="1:2" x14ac:dyDescent="0.25">
      <c r="A38" s="2">
        <v>45427</v>
      </c>
      <c r="B38">
        <v>5100.8999999999996</v>
      </c>
    </row>
    <row r="39" spans="1:2" x14ac:dyDescent="0.25">
      <c r="A39" s="2">
        <v>45428</v>
      </c>
      <c r="B39">
        <v>5072.45</v>
      </c>
    </row>
    <row r="40" spans="1:2" x14ac:dyDescent="0.25">
      <c r="A40" s="2">
        <v>45429</v>
      </c>
      <c r="B40">
        <v>5064.1400000000003</v>
      </c>
    </row>
    <row r="41" spans="1:2" x14ac:dyDescent="0.25">
      <c r="A41" s="2">
        <v>45432</v>
      </c>
      <c r="B41">
        <v>5074.34</v>
      </c>
    </row>
    <row r="42" spans="1:2" x14ac:dyDescent="0.25">
      <c r="A42" s="2">
        <v>45433</v>
      </c>
      <c r="B42">
        <v>5046.99</v>
      </c>
    </row>
    <row r="43" spans="1:2" x14ac:dyDescent="0.25">
      <c r="A43" s="2">
        <v>45434</v>
      </c>
      <c r="B43">
        <v>5025.17</v>
      </c>
    </row>
    <row r="44" spans="1:2" x14ac:dyDescent="0.25">
      <c r="A44" s="2">
        <v>45435</v>
      </c>
      <c r="B44">
        <v>5037.6000000000004</v>
      </c>
    </row>
    <row r="45" spans="1:2" x14ac:dyDescent="0.25">
      <c r="A45" s="2">
        <v>45436</v>
      </c>
      <c r="B45">
        <v>5035.41</v>
      </c>
    </row>
    <row r="46" spans="1:2" x14ac:dyDescent="0.25">
      <c r="A46" s="2">
        <v>45439</v>
      </c>
      <c r="B46">
        <v>5059.2</v>
      </c>
    </row>
    <row r="47" spans="1:2" x14ac:dyDescent="0.25">
      <c r="A47" s="2">
        <v>45440</v>
      </c>
      <c r="B47">
        <v>5030.3500000000004</v>
      </c>
    </row>
    <row r="48" spans="1:2" x14ac:dyDescent="0.25">
      <c r="A48" s="2">
        <v>45441</v>
      </c>
      <c r="B48">
        <v>4963.2</v>
      </c>
    </row>
    <row r="49" spans="1:2" x14ac:dyDescent="0.25">
      <c r="A49" s="2">
        <v>45442</v>
      </c>
      <c r="B49">
        <v>4982.18</v>
      </c>
    </row>
    <row r="50" spans="1:2" x14ac:dyDescent="0.25">
      <c r="A50" s="2">
        <v>45443</v>
      </c>
      <c r="B50">
        <v>4983.67</v>
      </c>
    </row>
    <row r="51" spans="1:2" x14ac:dyDescent="0.25">
      <c r="A51" s="2">
        <v>45446</v>
      </c>
      <c r="B51">
        <v>5003.54</v>
      </c>
    </row>
    <row r="52" spans="1:2" x14ac:dyDescent="0.25">
      <c r="A52" s="2">
        <v>45447</v>
      </c>
      <c r="B52">
        <v>4953.37</v>
      </c>
    </row>
    <row r="53" spans="1:2" x14ac:dyDescent="0.25">
      <c r="A53" s="2">
        <v>45448</v>
      </c>
      <c r="B53">
        <v>5035.66</v>
      </c>
    </row>
    <row r="54" spans="1:2" x14ac:dyDescent="0.25">
      <c r="A54" s="2">
        <v>45449</v>
      </c>
      <c r="B54">
        <v>5069.09</v>
      </c>
    </row>
    <row r="55" spans="1:2" x14ac:dyDescent="0.25">
      <c r="A55" s="2">
        <v>45450</v>
      </c>
      <c r="B55">
        <v>5051.3100000000004</v>
      </c>
    </row>
    <row r="56" spans="1:2" x14ac:dyDescent="0.25">
      <c r="A56" s="2">
        <v>45453</v>
      </c>
      <c r="B56">
        <v>5016.4799999999996</v>
      </c>
    </row>
    <row r="57" spans="1:2" x14ac:dyDescent="0.25">
      <c r="A57" s="2">
        <v>45454</v>
      </c>
      <c r="B57">
        <v>4965.09</v>
      </c>
    </row>
    <row r="58" spans="1:2" x14ac:dyDescent="0.25">
      <c r="A58" s="2">
        <v>45455</v>
      </c>
      <c r="B58">
        <v>5034.43</v>
      </c>
    </row>
    <row r="59" spans="1:2" x14ac:dyDescent="0.25">
      <c r="A59" s="2">
        <v>45456</v>
      </c>
      <c r="B59">
        <v>4935.5</v>
      </c>
    </row>
    <row r="60" spans="1:2" x14ac:dyDescent="0.25">
      <c r="A60" s="2">
        <v>45457</v>
      </c>
      <c r="B60">
        <v>4839.1400000000003</v>
      </c>
    </row>
    <row r="61" spans="1:2" x14ac:dyDescent="0.25">
      <c r="A61" s="2">
        <v>45460</v>
      </c>
      <c r="B61">
        <v>4880.42</v>
      </c>
    </row>
    <row r="62" spans="1:2" x14ac:dyDescent="0.25">
      <c r="A62" s="2">
        <v>45461</v>
      </c>
      <c r="B62">
        <v>4915.47</v>
      </c>
    </row>
    <row r="63" spans="1:2" x14ac:dyDescent="0.25">
      <c r="A63" s="2">
        <v>45462</v>
      </c>
      <c r="B63">
        <v>4885.45</v>
      </c>
    </row>
    <row r="64" spans="1:2" x14ac:dyDescent="0.25">
      <c r="A64" s="2">
        <v>45463</v>
      </c>
      <c r="B64">
        <v>4947.7299999999996</v>
      </c>
    </row>
    <row r="65" spans="1:2" x14ac:dyDescent="0.25">
      <c r="A65" s="2">
        <v>45464</v>
      </c>
      <c r="B65">
        <v>4907.3</v>
      </c>
    </row>
    <row r="66" spans="1:2" x14ac:dyDescent="0.25">
      <c r="A66" s="2">
        <v>45467</v>
      </c>
      <c r="B66">
        <v>4950.9799999999996</v>
      </c>
    </row>
    <row r="67" spans="1:2" x14ac:dyDescent="0.25">
      <c r="A67" s="2">
        <v>45468</v>
      </c>
      <c r="B67">
        <v>4935.97</v>
      </c>
    </row>
    <row r="68" spans="1:2" x14ac:dyDescent="0.25">
      <c r="A68" s="2">
        <v>45469</v>
      </c>
      <c r="B68">
        <v>4915.9399999999996</v>
      </c>
    </row>
    <row r="69" spans="1:2" x14ac:dyDescent="0.25">
      <c r="A69" s="2">
        <v>45470</v>
      </c>
      <c r="B69">
        <v>4902.6000000000004</v>
      </c>
    </row>
    <row r="70" spans="1:2" x14ac:dyDescent="0.25">
      <c r="A70" s="2">
        <v>45471</v>
      </c>
      <c r="B70">
        <v>4894.0200000000004</v>
      </c>
    </row>
    <row r="71" spans="1:2" x14ac:dyDescent="0.25">
      <c r="A71" s="2">
        <v>45474</v>
      </c>
      <c r="B71">
        <v>4929.99</v>
      </c>
    </row>
    <row r="72" spans="1:2" x14ac:dyDescent="0.25">
      <c r="A72" s="2">
        <v>45475</v>
      </c>
      <c r="B72">
        <v>4906.33</v>
      </c>
    </row>
    <row r="73" spans="1:2" x14ac:dyDescent="0.25">
      <c r="A73" s="2">
        <v>45476</v>
      </c>
      <c r="B73">
        <v>4965.8</v>
      </c>
    </row>
    <row r="74" spans="1:2" x14ac:dyDescent="0.25">
      <c r="A74" s="2">
        <v>45477</v>
      </c>
      <c r="B74">
        <v>4987.4799999999996</v>
      </c>
    </row>
    <row r="75" spans="1:2" x14ac:dyDescent="0.25">
      <c r="A75" s="2">
        <v>45478</v>
      </c>
      <c r="B75">
        <v>4979.3900000000003</v>
      </c>
    </row>
    <row r="76" spans="1:2" x14ac:dyDescent="0.25">
      <c r="A76" s="2">
        <v>45481</v>
      </c>
      <c r="B76">
        <v>4969.83</v>
      </c>
    </row>
    <row r="77" spans="1:2" x14ac:dyDescent="0.25">
      <c r="A77" s="2">
        <v>45482</v>
      </c>
      <c r="B77">
        <v>4903.62</v>
      </c>
    </row>
    <row r="78" spans="1:2" x14ac:dyDescent="0.25">
      <c r="A78" s="2">
        <v>45483</v>
      </c>
      <c r="B78">
        <v>4958.8599999999997</v>
      </c>
    </row>
    <row r="79" spans="1:2" x14ac:dyDescent="0.25">
      <c r="A79" s="2">
        <v>45484</v>
      </c>
      <c r="B79">
        <v>4976.13</v>
      </c>
    </row>
    <row r="80" spans="1:2" x14ac:dyDescent="0.25">
      <c r="A80" s="2">
        <v>45485</v>
      </c>
      <c r="B80">
        <v>5043.0200000000004</v>
      </c>
    </row>
    <row r="81" spans="1:2" x14ac:dyDescent="0.25">
      <c r="A81" s="2">
        <v>45488</v>
      </c>
      <c r="B81">
        <v>4983.1099999999997</v>
      </c>
    </row>
    <row r="82" spans="1:2" x14ac:dyDescent="0.25">
      <c r="A82" s="2">
        <v>45489</v>
      </c>
      <c r="B82">
        <v>4947.83</v>
      </c>
    </row>
    <row r="83" spans="1:2" x14ac:dyDescent="0.25">
      <c r="A83" s="2">
        <v>45490</v>
      </c>
      <c r="B83">
        <v>4891.46</v>
      </c>
    </row>
    <row r="84" spans="1:2" x14ac:dyDescent="0.25">
      <c r="A84" s="2">
        <v>45491</v>
      </c>
      <c r="B84">
        <v>4870.12</v>
      </c>
    </row>
    <row r="85" spans="1:2" x14ac:dyDescent="0.25">
      <c r="A85" s="2">
        <v>45492</v>
      </c>
      <c r="B85">
        <v>4827.24</v>
      </c>
    </row>
    <row r="86" spans="1:2" x14ac:dyDescent="0.25">
      <c r="A86" s="2">
        <v>45495</v>
      </c>
      <c r="B86">
        <v>4897.4399999999996</v>
      </c>
    </row>
    <row r="87" spans="1:2" x14ac:dyDescent="0.25">
      <c r="A87" s="2">
        <v>45496</v>
      </c>
      <c r="B87">
        <v>4916.8</v>
      </c>
    </row>
    <row r="88" spans="1:2" x14ac:dyDescent="0.25">
      <c r="A88" s="2">
        <v>45497</v>
      </c>
      <c r="B88">
        <v>4861.87</v>
      </c>
    </row>
    <row r="89" spans="1:2" x14ac:dyDescent="0.25">
      <c r="A89" s="2">
        <v>45498</v>
      </c>
      <c r="B89">
        <v>4811.28</v>
      </c>
    </row>
    <row r="90" spans="1:2" x14ac:dyDescent="0.25">
      <c r="A90" s="2">
        <v>45499</v>
      </c>
      <c r="B90">
        <v>4862.5</v>
      </c>
    </row>
    <row r="91" spans="1:2" x14ac:dyDescent="0.25">
      <c r="A91" s="2">
        <v>45502</v>
      </c>
      <c r="B91">
        <v>4815.3900000000003</v>
      </c>
    </row>
    <row r="92" spans="1:2" x14ac:dyDescent="0.25">
      <c r="A92" s="2">
        <v>45503</v>
      </c>
      <c r="B92">
        <v>4841</v>
      </c>
    </row>
    <row r="93" spans="1:2" x14ac:dyDescent="0.25">
      <c r="A93" s="2">
        <v>45504</v>
      </c>
      <c r="B93">
        <v>4872.9399999999996</v>
      </c>
    </row>
    <row r="94" spans="1:2" x14ac:dyDescent="0.25">
      <c r="A94" s="2">
        <v>45505</v>
      </c>
      <c r="B94">
        <v>4765.72</v>
      </c>
    </row>
    <row r="95" spans="1:2" x14ac:dyDescent="0.25">
      <c r="A95" s="2">
        <v>45506</v>
      </c>
      <c r="B95">
        <v>4638.7</v>
      </c>
    </row>
    <row r="96" spans="1:2" x14ac:dyDescent="0.25">
      <c r="A96" s="2">
        <v>45509</v>
      </c>
      <c r="B96">
        <v>4571.6000000000004</v>
      </c>
    </row>
    <row r="97" spans="1:2" x14ac:dyDescent="0.25">
      <c r="A97" s="2">
        <v>45510</v>
      </c>
      <c r="B97">
        <v>4575.22</v>
      </c>
    </row>
    <row r="98" spans="1:2" x14ac:dyDescent="0.25">
      <c r="A98" s="2">
        <v>45511</v>
      </c>
      <c r="B98">
        <v>4668.0600000000004</v>
      </c>
    </row>
    <row r="99" spans="1:2" x14ac:dyDescent="0.25">
      <c r="A99" s="2">
        <v>45512</v>
      </c>
      <c r="B99">
        <v>4668.74</v>
      </c>
    </row>
    <row r="100" spans="1:2" x14ac:dyDescent="0.25">
      <c r="A100" s="2">
        <v>45513</v>
      </c>
      <c r="B100">
        <v>4675.28</v>
      </c>
    </row>
    <row r="101" spans="1:2" x14ac:dyDescent="0.25">
      <c r="A101" s="2">
        <v>45516</v>
      </c>
      <c r="B101">
        <v>4671.88</v>
      </c>
    </row>
    <row r="102" spans="1:2" x14ac:dyDescent="0.25">
      <c r="A102" s="2">
        <v>45517</v>
      </c>
      <c r="B102">
        <v>4694.92</v>
      </c>
    </row>
    <row r="103" spans="1:2" x14ac:dyDescent="0.25">
      <c r="A103" s="2">
        <v>45518</v>
      </c>
      <c r="B103">
        <v>4727.6000000000004</v>
      </c>
    </row>
    <row r="104" spans="1:2" x14ac:dyDescent="0.25">
      <c r="A104" s="2">
        <v>45519</v>
      </c>
      <c r="B104">
        <v>4807.7700000000004</v>
      </c>
    </row>
    <row r="105" spans="1:2" x14ac:dyDescent="0.25">
      <c r="A105" s="2">
        <v>45520</v>
      </c>
      <c r="B105">
        <v>4840.5200000000004</v>
      </c>
    </row>
    <row r="106" spans="1:2" x14ac:dyDescent="0.25">
      <c r="A106" s="2">
        <v>45523</v>
      </c>
      <c r="B106">
        <v>4871.41</v>
      </c>
    </row>
    <row r="107" spans="1:2" x14ac:dyDescent="0.25">
      <c r="A107" s="2">
        <v>45524</v>
      </c>
      <c r="B107">
        <v>4857.58</v>
      </c>
    </row>
    <row r="108" spans="1:2" x14ac:dyDescent="0.25">
      <c r="A108" s="2">
        <v>45525</v>
      </c>
      <c r="B108">
        <v>4885.28</v>
      </c>
    </row>
    <row r="109" spans="1:2" x14ac:dyDescent="0.25">
      <c r="A109" s="2">
        <v>45526</v>
      </c>
      <c r="B109">
        <v>4885</v>
      </c>
    </row>
    <row r="110" spans="1:2" x14ac:dyDescent="0.25">
      <c r="A110" s="2">
        <v>45527</v>
      </c>
      <c r="B110">
        <v>4909.2</v>
      </c>
    </row>
    <row r="111" spans="1:2" x14ac:dyDescent="0.25">
      <c r="A111" s="2">
        <v>45530</v>
      </c>
      <c r="B111">
        <v>4896.6899999999996</v>
      </c>
    </row>
    <row r="112" spans="1:2" x14ac:dyDescent="0.25">
      <c r="A112" s="2">
        <v>45531</v>
      </c>
      <c r="B112">
        <v>4898.78</v>
      </c>
    </row>
    <row r="113" spans="1:2" x14ac:dyDescent="0.25">
      <c r="A113" s="2">
        <v>45532</v>
      </c>
      <c r="B113">
        <v>4913.03</v>
      </c>
    </row>
    <row r="114" spans="1:2" x14ac:dyDescent="0.25">
      <c r="A114" s="2">
        <v>45533</v>
      </c>
      <c r="B114">
        <v>4966.2700000000004</v>
      </c>
    </row>
    <row r="115" spans="1:2" x14ac:dyDescent="0.25">
      <c r="A115" s="2">
        <v>45534</v>
      </c>
      <c r="B115">
        <v>4957.9799999999996</v>
      </c>
    </row>
    <row r="116" spans="1:2" x14ac:dyDescent="0.25">
      <c r="A116" s="2">
        <v>45537</v>
      </c>
      <c r="B116">
        <v>4973.07</v>
      </c>
    </row>
    <row r="117" spans="1:2" x14ac:dyDescent="0.25">
      <c r="A117" s="2">
        <v>45538</v>
      </c>
      <c r="B117">
        <v>4912.5200000000004</v>
      </c>
    </row>
    <row r="118" spans="1:2" x14ac:dyDescent="0.25">
      <c r="A118" s="2">
        <v>45539</v>
      </c>
      <c r="B118">
        <v>4848.18</v>
      </c>
    </row>
    <row r="119" spans="1:2" x14ac:dyDescent="0.25">
      <c r="A119" s="2">
        <v>45540</v>
      </c>
      <c r="B119">
        <v>4815.1499999999996</v>
      </c>
    </row>
    <row r="120" spans="1:2" x14ac:dyDescent="0.25">
      <c r="A120" s="2">
        <v>45541</v>
      </c>
      <c r="B120">
        <v>4738.0600000000004</v>
      </c>
    </row>
    <row r="121" spans="1:2" x14ac:dyDescent="0.25">
      <c r="A121" s="2">
        <v>45544</v>
      </c>
      <c r="B121">
        <v>4778.66</v>
      </c>
    </row>
    <row r="122" spans="1:2" x14ac:dyDescent="0.25">
      <c r="A122" s="2">
        <v>45545</v>
      </c>
      <c r="B122">
        <v>4747.2</v>
      </c>
    </row>
    <row r="123" spans="1:2" x14ac:dyDescent="0.25">
      <c r="A123" s="2">
        <v>45546</v>
      </c>
      <c r="B123">
        <v>4763.58</v>
      </c>
    </row>
    <row r="124" spans="1:2" x14ac:dyDescent="0.25">
      <c r="A124" s="2">
        <v>45547</v>
      </c>
      <c r="B124">
        <v>4814.08</v>
      </c>
    </row>
    <row r="125" spans="1:2" x14ac:dyDescent="0.25">
      <c r="A125" s="2">
        <v>45548</v>
      </c>
      <c r="B125">
        <v>4843.99</v>
      </c>
    </row>
    <row r="126" spans="1:2" x14ac:dyDescent="0.25">
      <c r="A126" s="2">
        <v>45551</v>
      </c>
      <c r="B126">
        <v>4827.63</v>
      </c>
    </row>
    <row r="127" spans="1:2" x14ac:dyDescent="0.25">
      <c r="A127" s="2">
        <v>45552</v>
      </c>
      <c r="B127">
        <v>4860.78</v>
      </c>
    </row>
    <row r="128" spans="1:2" x14ac:dyDescent="0.25">
      <c r="A128" s="2">
        <v>45553</v>
      </c>
      <c r="B128">
        <v>4835.3</v>
      </c>
    </row>
    <row r="129" spans="1:2" x14ac:dyDescent="0.25">
      <c r="A129" s="2">
        <v>45554</v>
      </c>
      <c r="B129">
        <v>4943.38</v>
      </c>
    </row>
    <row r="130" spans="1:2" x14ac:dyDescent="0.25">
      <c r="A130" s="2">
        <v>45555</v>
      </c>
      <c r="B130">
        <v>4871.54</v>
      </c>
    </row>
    <row r="131" spans="1:2" x14ac:dyDescent="0.25">
      <c r="A131" s="2">
        <v>45558</v>
      </c>
      <c r="B131">
        <v>4885.57</v>
      </c>
    </row>
    <row r="132" spans="1:2" x14ac:dyDescent="0.25">
      <c r="A132" s="2">
        <v>45559</v>
      </c>
      <c r="B132">
        <v>4940.72</v>
      </c>
    </row>
    <row r="133" spans="1:2" x14ac:dyDescent="0.25">
      <c r="A133" s="2">
        <v>45560</v>
      </c>
      <c r="B133">
        <v>4916.8900000000003</v>
      </c>
    </row>
    <row r="134" spans="1:2" x14ac:dyDescent="0.25">
      <c r="A134" s="2">
        <v>45561</v>
      </c>
      <c r="B134">
        <v>5032.59</v>
      </c>
    </row>
    <row r="135" spans="1:2" x14ac:dyDescent="0.25">
      <c r="A135" s="2">
        <v>45562</v>
      </c>
      <c r="B135">
        <v>5067.45</v>
      </c>
    </row>
    <row r="136" spans="1:2" x14ac:dyDescent="0.25">
      <c r="A136" s="2">
        <v>45565</v>
      </c>
      <c r="B136">
        <v>5000.45</v>
      </c>
    </row>
    <row r="137" spans="1:2" x14ac:dyDescent="0.25">
      <c r="A137" s="2">
        <v>45566</v>
      </c>
      <c r="B137">
        <v>4954.1499999999996</v>
      </c>
    </row>
    <row r="138" spans="1:2" x14ac:dyDescent="0.25">
      <c r="A138" s="2">
        <v>45567</v>
      </c>
      <c r="B138">
        <v>4963.29</v>
      </c>
    </row>
    <row r="139" spans="1:2" x14ac:dyDescent="0.25">
      <c r="A139" s="2">
        <v>45568</v>
      </c>
      <c r="B139">
        <v>4921.33</v>
      </c>
    </row>
    <row r="140" spans="1:2" x14ac:dyDescent="0.25">
      <c r="A140" s="2">
        <v>45569</v>
      </c>
      <c r="B140">
        <v>4954.9399999999996</v>
      </c>
    </row>
    <row r="141" spans="1:2" x14ac:dyDescent="0.25">
      <c r="A141" s="2">
        <v>45572</v>
      </c>
      <c r="B141">
        <v>4969.71</v>
      </c>
    </row>
    <row r="142" spans="1:2" x14ac:dyDescent="0.25">
      <c r="A142" s="2">
        <v>45573</v>
      </c>
      <c r="B142">
        <v>4949</v>
      </c>
    </row>
    <row r="143" spans="1:2" x14ac:dyDescent="0.25">
      <c r="A143" s="2">
        <v>45574</v>
      </c>
      <c r="B143">
        <v>4982.57</v>
      </c>
    </row>
    <row r="144" spans="1:2" x14ac:dyDescent="0.25">
      <c r="A144" s="2">
        <v>45575</v>
      </c>
      <c r="B144">
        <v>4970.34</v>
      </c>
    </row>
    <row r="145" spans="1:2" x14ac:dyDescent="0.25">
      <c r="A145" s="2">
        <v>45576</v>
      </c>
      <c r="B145">
        <v>5003.92</v>
      </c>
    </row>
    <row r="146" spans="1:2" x14ac:dyDescent="0.25">
      <c r="A146" s="2">
        <v>45579</v>
      </c>
      <c r="B146">
        <v>5041.01</v>
      </c>
    </row>
    <row r="147" spans="1:2" x14ac:dyDescent="0.25">
      <c r="A147" s="2">
        <v>45580</v>
      </c>
      <c r="B147">
        <v>4946.7299999999996</v>
      </c>
    </row>
    <row r="148" spans="1:2" x14ac:dyDescent="0.25">
      <c r="A148" s="2">
        <v>45581</v>
      </c>
      <c r="B148">
        <v>4908.71</v>
      </c>
    </row>
    <row r="149" spans="1:2" x14ac:dyDescent="0.25">
      <c r="A149" s="2">
        <v>45582</v>
      </c>
      <c r="B149">
        <v>4947.3</v>
      </c>
    </row>
    <row r="150" spans="1:2" x14ac:dyDescent="0.25">
      <c r="A150" s="2">
        <v>45583</v>
      </c>
      <c r="B150">
        <v>4986.2700000000004</v>
      </c>
    </row>
    <row r="151" spans="1:2" x14ac:dyDescent="0.25">
      <c r="A151" s="2">
        <v>45586</v>
      </c>
      <c r="B151">
        <v>4941.22</v>
      </c>
    </row>
    <row r="152" spans="1:2" x14ac:dyDescent="0.25">
      <c r="A152" s="2">
        <v>45587</v>
      </c>
      <c r="B152">
        <v>4939.3100000000004</v>
      </c>
    </row>
    <row r="153" spans="1:2" x14ac:dyDescent="0.25">
      <c r="A153" s="2">
        <v>45588</v>
      </c>
      <c r="B153">
        <v>4922.55</v>
      </c>
    </row>
    <row r="154" spans="1:2" x14ac:dyDescent="0.25">
      <c r="A154" s="2">
        <v>45589</v>
      </c>
      <c r="B154">
        <v>4935.45</v>
      </c>
    </row>
    <row r="155" spans="1:2" x14ac:dyDescent="0.25">
      <c r="A155" s="2">
        <v>45590</v>
      </c>
      <c r="B155">
        <v>4943.09</v>
      </c>
    </row>
    <row r="156" spans="1:2" x14ac:dyDescent="0.25">
      <c r="A156" s="2">
        <v>45593</v>
      </c>
      <c r="B156">
        <v>4969.83</v>
      </c>
    </row>
    <row r="157" spans="1:2" x14ac:dyDescent="0.25">
      <c r="A157" s="2">
        <v>45594</v>
      </c>
      <c r="B157">
        <v>4950.0200000000004</v>
      </c>
    </row>
    <row r="158" spans="1:2" x14ac:dyDescent="0.25">
      <c r="A158" s="2">
        <v>45595</v>
      </c>
      <c r="B158">
        <v>4885.75</v>
      </c>
    </row>
    <row r="159" spans="1:2" x14ac:dyDescent="0.25">
      <c r="A159" s="2">
        <v>45596</v>
      </c>
      <c r="B159">
        <v>4827.63</v>
      </c>
    </row>
    <row r="160" spans="1:2" x14ac:dyDescent="0.25">
      <c r="A160" s="2">
        <v>45597</v>
      </c>
      <c r="B160">
        <v>4877.75</v>
      </c>
    </row>
    <row r="161" spans="1:2" x14ac:dyDescent="0.25">
      <c r="A161" s="2">
        <v>45600</v>
      </c>
      <c r="B161">
        <v>4852.1000000000004</v>
      </c>
    </row>
    <row r="162" spans="1:2" x14ac:dyDescent="0.25">
      <c r="A162" s="2">
        <v>45601</v>
      </c>
      <c r="B162">
        <v>4870.33</v>
      </c>
    </row>
    <row r="163" spans="1:2" x14ac:dyDescent="0.25">
      <c r="A163" s="2">
        <v>45602</v>
      </c>
      <c r="B163">
        <v>4800.63</v>
      </c>
    </row>
    <row r="164" spans="1:2" x14ac:dyDescent="0.25">
      <c r="A164" s="2">
        <v>45603</v>
      </c>
      <c r="B164">
        <v>4851.96</v>
      </c>
    </row>
    <row r="165" spans="1:2" x14ac:dyDescent="0.25">
      <c r="A165" s="2">
        <v>45604</v>
      </c>
      <c r="B165">
        <v>4802.76</v>
      </c>
    </row>
    <row r="166" spans="1:2" x14ac:dyDescent="0.25">
      <c r="A166" s="2">
        <v>45607</v>
      </c>
      <c r="B166">
        <v>4854.03</v>
      </c>
    </row>
    <row r="167" spans="1:2" x14ac:dyDescent="0.25">
      <c r="A167" s="2">
        <v>45608</v>
      </c>
      <c r="B167">
        <v>4744.6899999999996</v>
      </c>
    </row>
    <row r="168" spans="1:2" x14ac:dyDescent="0.25">
      <c r="A168" s="2">
        <v>45609</v>
      </c>
      <c r="B168">
        <v>4740.34</v>
      </c>
    </row>
    <row r="169" spans="1:2" x14ac:dyDescent="0.25">
      <c r="A169" s="2">
        <v>45610</v>
      </c>
      <c r="B169">
        <v>4833.53</v>
      </c>
    </row>
    <row r="170" spans="1:2" x14ac:dyDescent="0.25">
      <c r="A170" s="2">
        <v>45611</v>
      </c>
      <c r="B170">
        <v>4794.8500000000004</v>
      </c>
    </row>
    <row r="171" spans="1:2" x14ac:dyDescent="0.25">
      <c r="A171" s="2">
        <v>45614</v>
      </c>
      <c r="B171">
        <v>4790.33</v>
      </c>
    </row>
    <row r="172" spans="1:2" x14ac:dyDescent="0.25">
      <c r="A172" s="2">
        <v>45615</v>
      </c>
      <c r="B172">
        <v>4751.2299999999996</v>
      </c>
    </row>
    <row r="173" spans="1:2" x14ac:dyDescent="0.25">
      <c r="A173" s="2">
        <v>45616</v>
      </c>
      <c r="B173">
        <v>4729.71</v>
      </c>
    </row>
    <row r="174" spans="1:2" x14ac:dyDescent="0.25">
      <c r="A174" s="2">
        <v>45617</v>
      </c>
      <c r="B174">
        <v>4755.83</v>
      </c>
    </row>
    <row r="175" spans="1:2" x14ac:dyDescent="0.25">
      <c r="A175" s="2">
        <v>45618</v>
      </c>
      <c r="B175">
        <v>4789.08</v>
      </c>
    </row>
    <row r="176" spans="1:2" x14ac:dyDescent="0.25">
      <c r="A176" s="2">
        <v>45621</v>
      </c>
      <c r="B176">
        <v>4799.87</v>
      </c>
    </row>
    <row r="177" spans="1:2" x14ac:dyDescent="0.25">
      <c r="A177" s="2">
        <v>45622</v>
      </c>
      <c r="B177">
        <v>4761.99</v>
      </c>
    </row>
    <row r="178" spans="1:2" x14ac:dyDescent="0.25">
      <c r="A178" s="2">
        <v>45623</v>
      </c>
      <c r="B178">
        <v>4733.1499999999996</v>
      </c>
    </row>
    <row r="179" spans="1:2" x14ac:dyDescent="0.25">
      <c r="A179" s="2">
        <v>45624</v>
      </c>
      <c r="B179">
        <v>4758.6499999999996</v>
      </c>
    </row>
    <row r="180" spans="1:2" x14ac:dyDescent="0.25">
      <c r="A180" s="2">
        <v>45625</v>
      </c>
      <c r="B180">
        <v>4804.3999999999996</v>
      </c>
    </row>
    <row r="181" spans="1:2" x14ac:dyDescent="0.25">
      <c r="A181" s="2">
        <v>45628</v>
      </c>
      <c r="B181">
        <v>4846.7299999999996</v>
      </c>
    </row>
    <row r="182" spans="1:2" x14ac:dyDescent="0.25">
      <c r="A182" s="2">
        <v>45629</v>
      </c>
      <c r="B182">
        <v>4878.51</v>
      </c>
    </row>
    <row r="183" spans="1:2" x14ac:dyDescent="0.25">
      <c r="A183" s="2">
        <v>45630</v>
      </c>
      <c r="B183">
        <v>4919.0200000000004</v>
      </c>
    </row>
    <row r="184" spans="1:2" x14ac:dyDescent="0.25">
      <c r="A184" s="2">
        <v>45631</v>
      </c>
      <c r="B184">
        <v>4951.58</v>
      </c>
    </row>
    <row r="185" spans="1:2" x14ac:dyDescent="0.25">
      <c r="A185" s="2">
        <v>45632</v>
      </c>
      <c r="B185">
        <v>4977.78</v>
      </c>
    </row>
    <row r="186" spans="1:2" x14ac:dyDescent="0.25">
      <c r="A186" s="2">
        <v>45635</v>
      </c>
      <c r="B186">
        <v>4985.46</v>
      </c>
    </row>
    <row r="187" spans="1:2" x14ac:dyDescent="0.25">
      <c r="A187" s="2">
        <v>45636</v>
      </c>
      <c r="B187">
        <v>4951.74</v>
      </c>
    </row>
    <row r="188" spans="1:2" x14ac:dyDescent="0.25">
      <c r="A188" s="2">
        <v>45637</v>
      </c>
      <c r="B188">
        <v>4959.3500000000004</v>
      </c>
    </row>
    <row r="189" spans="1:2" x14ac:dyDescent="0.25">
      <c r="A189" s="2">
        <v>45638</v>
      </c>
      <c r="B189">
        <v>4965.53</v>
      </c>
    </row>
    <row r="190" spans="1:2" x14ac:dyDescent="0.25">
      <c r="A190" s="2">
        <v>45639</v>
      </c>
      <c r="B190">
        <v>4967.95</v>
      </c>
    </row>
    <row r="191" spans="1:2" x14ac:dyDescent="0.25">
      <c r="A191" s="2">
        <v>45642</v>
      </c>
      <c r="B191">
        <v>4947.03</v>
      </c>
    </row>
    <row r="192" spans="1:2" x14ac:dyDescent="0.25">
      <c r="A192" s="2">
        <v>45643</v>
      </c>
      <c r="B192">
        <v>4942.58</v>
      </c>
    </row>
    <row r="193" spans="1:2" x14ac:dyDescent="0.25">
      <c r="A193" s="2">
        <v>45644</v>
      </c>
      <c r="B193">
        <v>4957.28</v>
      </c>
    </row>
    <row r="194" spans="1:2" x14ac:dyDescent="0.25">
      <c r="A194" s="2">
        <v>45645</v>
      </c>
      <c r="B194">
        <v>4879</v>
      </c>
    </row>
    <row r="195" spans="1:2" x14ac:dyDescent="0.25">
      <c r="A195" s="2">
        <v>45646</v>
      </c>
      <c r="B195">
        <v>4862.28</v>
      </c>
    </row>
    <row r="196" spans="1:2" x14ac:dyDescent="0.25">
      <c r="A196" s="2">
        <v>45649</v>
      </c>
      <c r="B196">
        <v>4852.93</v>
      </c>
    </row>
    <row r="197" spans="1:2" x14ac:dyDescent="0.25">
      <c r="A197" s="2">
        <v>45650</v>
      </c>
      <c r="B197">
        <v>4857.8599999999997</v>
      </c>
    </row>
    <row r="198" spans="1:2" x14ac:dyDescent="0.25">
      <c r="A198" s="2">
        <v>45653</v>
      </c>
      <c r="B198">
        <v>4898.88</v>
      </c>
    </row>
    <row r="199" spans="1:2" x14ac:dyDescent="0.25">
      <c r="A199" s="2">
        <v>45656</v>
      </c>
      <c r="B199">
        <v>4869.28</v>
      </c>
    </row>
    <row r="200" spans="1:2" x14ac:dyDescent="0.25">
      <c r="A200" s="2">
        <v>45657</v>
      </c>
      <c r="B200">
        <v>4895.9799999999996</v>
      </c>
    </row>
    <row r="201" spans="1:2" x14ac:dyDescent="0.25">
      <c r="A201" s="2">
        <v>45659</v>
      </c>
      <c r="B201">
        <v>4917.88</v>
      </c>
    </row>
    <row r="202" spans="1:2" x14ac:dyDescent="0.25">
      <c r="A202" s="2">
        <v>45660</v>
      </c>
      <c r="B202">
        <v>4871.45</v>
      </c>
    </row>
    <row r="203" spans="1:2" x14ac:dyDescent="0.25">
      <c r="A203" s="2">
        <v>45663</v>
      </c>
      <c r="B203">
        <v>4986.6400000000003</v>
      </c>
    </row>
    <row r="204" spans="1:2" x14ac:dyDescent="0.25">
      <c r="A204" s="2">
        <v>45664</v>
      </c>
      <c r="B204">
        <v>5011.82</v>
      </c>
    </row>
    <row r="205" spans="1:2" x14ac:dyDescent="0.25">
      <c r="A205" s="2">
        <v>45665</v>
      </c>
      <c r="B205">
        <v>4996.3900000000003</v>
      </c>
    </row>
    <row r="206" spans="1:2" x14ac:dyDescent="0.25">
      <c r="A206" s="2">
        <v>45666</v>
      </c>
      <c r="B206">
        <v>5017.91</v>
      </c>
    </row>
    <row r="207" spans="1:2" x14ac:dyDescent="0.25">
      <c r="A207" s="2">
        <v>45667</v>
      </c>
      <c r="B207">
        <v>4977.26</v>
      </c>
    </row>
    <row r="208" spans="1:2" x14ac:dyDescent="0.25">
      <c r="A208" s="2">
        <v>45670</v>
      </c>
      <c r="B208">
        <v>4954.21</v>
      </c>
    </row>
    <row r="209" spans="1:2" x14ac:dyDescent="0.25">
      <c r="A209" s="2">
        <v>45671</v>
      </c>
      <c r="B209">
        <v>4980.47</v>
      </c>
    </row>
    <row r="210" spans="1:2" x14ac:dyDescent="0.25">
      <c r="A210" s="2">
        <v>45672</v>
      </c>
      <c r="B210">
        <v>5032.3100000000004</v>
      </c>
    </row>
    <row r="211" spans="1:2" x14ac:dyDescent="0.25">
      <c r="A211" s="2">
        <v>45673</v>
      </c>
      <c r="B211">
        <v>5106.93</v>
      </c>
    </row>
    <row r="212" spans="1:2" x14ac:dyDescent="0.25">
      <c r="A212" s="2">
        <v>45674</v>
      </c>
      <c r="B212">
        <v>5148.3</v>
      </c>
    </row>
    <row r="213" spans="1:2" x14ac:dyDescent="0.25">
      <c r="A213" s="2">
        <v>45677</v>
      </c>
      <c r="B213">
        <v>5164.4399999999996</v>
      </c>
    </row>
    <row r="214" spans="1:2" x14ac:dyDescent="0.25">
      <c r="A214" s="2">
        <v>45678</v>
      </c>
      <c r="B214">
        <v>5165.96</v>
      </c>
    </row>
    <row r="215" spans="1:2" x14ac:dyDescent="0.25">
      <c r="A215" s="2">
        <v>45679</v>
      </c>
      <c r="B215">
        <v>5205.83</v>
      </c>
    </row>
    <row r="216" spans="1:2" x14ac:dyDescent="0.25">
      <c r="A216" s="2">
        <v>45680</v>
      </c>
      <c r="B216">
        <v>5217.5</v>
      </c>
    </row>
    <row r="217" spans="1:2" x14ac:dyDescent="0.25">
      <c r="A217" s="2">
        <v>45681</v>
      </c>
      <c r="B217">
        <v>5219.37</v>
      </c>
    </row>
    <row r="218" spans="1:2" x14ac:dyDescent="0.25">
      <c r="A218" s="2">
        <v>45684</v>
      </c>
      <c r="B218">
        <v>5188.45</v>
      </c>
    </row>
    <row r="219" spans="1:2" x14ac:dyDescent="0.25">
      <c r="A219" s="2">
        <v>45685</v>
      </c>
      <c r="B219">
        <v>5195.71</v>
      </c>
    </row>
    <row r="220" spans="1:2" x14ac:dyDescent="0.25">
      <c r="A220" s="2">
        <v>45686</v>
      </c>
      <c r="B220">
        <v>5230.66</v>
      </c>
    </row>
    <row r="221" spans="1:2" x14ac:dyDescent="0.25">
      <c r="A221" s="2">
        <v>45687</v>
      </c>
      <c r="B221">
        <v>5282.21</v>
      </c>
    </row>
    <row r="222" spans="1:2" x14ac:dyDescent="0.25">
      <c r="A222" s="2">
        <v>45688</v>
      </c>
      <c r="B222">
        <v>5286.87</v>
      </c>
    </row>
    <row r="223" spans="1:2" x14ac:dyDescent="0.25">
      <c r="A223" s="2">
        <v>45691</v>
      </c>
      <c r="B223">
        <v>5217.91</v>
      </c>
    </row>
    <row r="224" spans="1:2" x14ac:dyDescent="0.25">
      <c r="A224" s="2">
        <v>45692</v>
      </c>
      <c r="B224">
        <v>5264.59</v>
      </c>
    </row>
    <row r="225" spans="1:2" x14ac:dyDescent="0.25">
      <c r="A225" s="2">
        <v>45693</v>
      </c>
      <c r="B225">
        <v>5271.12</v>
      </c>
    </row>
    <row r="226" spans="1:2" x14ac:dyDescent="0.25">
      <c r="A226" s="2">
        <v>45694</v>
      </c>
      <c r="B226">
        <v>5356.63</v>
      </c>
    </row>
    <row r="227" spans="1:2" x14ac:dyDescent="0.25">
      <c r="A227" s="2">
        <v>45695</v>
      </c>
      <c r="B227">
        <v>5325.4</v>
      </c>
    </row>
    <row r="228" spans="1:2" x14ac:dyDescent="0.25">
      <c r="A228" s="2">
        <v>45698</v>
      </c>
      <c r="B228">
        <v>5358.3</v>
      </c>
    </row>
    <row r="229" spans="1:2" x14ac:dyDescent="0.25">
      <c r="A229" s="2">
        <v>45699</v>
      </c>
      <c r="B229">
        <v>5390.91</v>
      </c>
    </row>
    <row r="230" spans="1:2" x14ac:dyDescent="0.25">
      <c r="A230" s="2">
        <v>45700</v>
      </c>
      <c r="B230">
        <v>5405.65</v>
      </c>
    </row>
    <row r="231" spans="1:2" x14ac:dyDescent="0.25">
      <c r="A231" s="2">
        <v>45701</v>
      </c>
      <c r="B231">
        <v>5500.5</v>
      </c>
    </row>
    <row r="232" spans="1:2" x14ac:dyDescent="0.25">
      <c r="A232" s="2">
        <v>45702</v>
      </c>
      <c r="B232">
        <v>5493.4</v>
      </c>
    </row>
    <row r="233" spans="1:2" x14ac:dyDescent="0.25">
      <c r="A233" s="2">
        <v>45705</v>
      </c>
      <c r="B233">
        <v>5519.83</v>
      </c>
    </row>
    <row r="234" spans="1:2" x14ac:dyDescent="0.25">
      <c r="A234" s="2">
        <v>45706</v>
      </c>
      <c r="B234">
        <v>5533.84</v>
      </c>
    </row>
    <row r="235" spans="1:2" x14ac:dyDescent="0.25">
      <c r="A235" s="2">
        <v>45707</v>
      </c>
      <c r="B235">
        <v>5461.17</v>
      </c>
    </row>
    <row r="236" spans="1:2" x14ac:dyDescent="0.25">
      <c r="A236" s="2">
        <v>45708</v>
      </c>
      <c r="B236">
        <v>5461.03</v>
      </c>
    </row>
    <row r="237" spans="1:2" x14ac:dyDescent="0.25">
      <c r="A237" s="2">
        <v>45709</v>
      </c>
      <c r="B237">
        <v>5474.85</v>
      </c>
    </row>
    <row r="238" spans="1:2" x14ac:dyDescent="0.25">
      <c r="A238" s="2">
        <v>45712</v>
      </c>
      <c r="B238">
        <v>5453.76</v>
      </c>
    </row>
    <row r="239" spans="1:2" x14ac:dyDescent="0.25">
      <c r="A239" s="2">
        <v>45713</v>
      </c>
      <c r="B239">
        <v>5447.9</v>
      </c>
    </row>
    <row r="240" spans="1:2" x14ac:dyDescent="0.25">
      <c r="A240" s="2">
        <v>45714</v>
      </c>
      <c r="B240">
        <v>5527.99</v>
      </c>
    </row>
    <row r="241" spans="1:2" x14ac:dyDescent="0.25">
      <c r="A241" s="2">
        <v>45715</v>
      </c>
      <c r="B241">
        <v>5472.56</v>
      </c>
    </row>
    <row r="242" spans="1:2" x14ac:dyDescent="0.25">
      <c r="A242" s="2">
        <v>45716</v>
      </c>
      <c r="B242">
        <v>5463.54</v>
      </c>
    </row>
    <row r="243" spans="1:2" x14ac:dyDescent="0.25">
      <c r="A243" s="2">
        <v>45719</v>
      </c>
      <c r="B243">
        <v>5540.69</v>
      </c>
    </row>
    <row r="244" spans="1:2" x14ac:dyDescent="0.25">
      <c r="A244" s="2">
        <v>45720</v>
      </c>
      <c r="B244">
        <v>5387.31</v>
      </c>
    </row>
    <row r="245" spans="1:2" x14ac:dyDescent="0.25">
      <c r="A245" s="2">
        <v>45721</v>
      </c>
      <c r="B245">
        <v>5489.12</v>
      </c>
    </row>
    <row r="246" spans="1:2" x14ac:dyDescent="0.25">
      <c r="A246" s="2">
        <v>45722</v>
      </c>
      <c r="B246">
        <v>5520.47</v>
      </c>
    </row>
    <row r="247" spans="1:2" x14ac:dyDescent="0.25">
      <c r="A247" s="2">
        <v>45723</v>
      </c>
      <c r="B247">
        <v>5468.41</v>
      </c>
    </row>
    <row r="248" spans="1:2" x14ac:dyDescent="0.25">
      <c r="A248" s="2">
        <v>45726</v>
      </c>
      <c r="B248">
        <v>5386.98</v>
      </c>
    </row>
    <row r="249" spans="1:2" x14ac:dyDescent="0.25">
      <c r="A249" s="2">
        <v>45727</v>
      </c>
      <c r="B249">
        <v>5309.9</v>
      </c>
    </row>
    <row r="250" spans="1:2" x14ac:dyDescent="0.25">
      <c r="A250" s="2">
        <v>45728</v>
      </c>
      <c r="B250">
        <v>5359.42</v>
      </c>
    </row>
    <row r="251" spans="1:2" x14ac:dyDescent="0.25">
      <c r="A251" s="2">
        <v>45729</v>
      </c>
      <c r="B251">
        <v>5328.39</v>
      </c>
    </row>
    <row r="252" spans="1:2" x14ac:dyDescent="0.25">
      <c r="A252" s="2">
        <v>45730</v>
      </c>
      <c r="B252">
        <v>5404.18</v>
      </c>
    </row>
    <row r="253" spans="1:2" x14ac:dyDescent="0.25">
      <c r="A253" s="2">
        <v>45733</v>
      </c>
      <c r="B253">
        <v>5445.55</v>
      </c>
    </row>
    <row r="254" spans="1:2" x14ac:dyDescent="0.25">
      <c r="A254" s="2">
        <v>45734</v>
      </c>
      <c r="B254">
        <v>5485.01</v>
      </c>
    </row>
    <row r="255" spans="1:2" x14ac:dyDescent="0.25">
      <c r="A255" s="2">
        <v>45735</v>
      </c>
      <c r="B255">
        <v>5507.36</v>
      </c>
    </row>
    <row r="256" spans="1:2" x14ac:dyDescent="0.25">
      <c r="A256" s="2">
        <v>45736</v>
      </c>
      <c r="B256">
        <v>5450.93</v>
      </c>
    </row>
    <row r="257" spans="1:2" x14ac:dyDescent="0.25">
      <c r="A257" s="2">
        <v>45737</v>
      </c>
      <c r="B257">
        <v>5423.83</v>
      </c>
    </row>
    <row r="258" spans="1:2" x14ac:dyDescent="0.25">
      <c r="A258" s="2">
        <v>45740</v>
      </c>
      <c r="B258">
        <v>5415.79</v>
      </c>
    </row>
    <row r="259" spans="1:2" x14ac:dyDescent="0.25">
      <c r="A259" s="2">
        <v>45741</v>
      </c>
      <c r="B259">
        <v>5475.08</v>
      </c>
    </row>
    <row r="260" spans="1:2" x14ac:dyDescent="0.25">
      <c r="A260" s="2">
        <v>45742</v>
      </c>
      <c r="B260">
        <v>5411.69</v>
      </c>
    </row>
    <row r="261" spans="1:2" x14ac:dyDescent="0.25">
      <c r="A261" s="2">
        <v>45743</v>
      </c>
      <c r="B261">
        <v>5381.08</v>
      </c>
    </row>
    <row r="262" spans="1:2" x14ac:dyDescent="0.25">
      <c r="A262" s="2">
        <v>45744</v>
      </c>
      <c r="B262">
        <v>5331.4</v>
      </c>
    </row>
    <row r="263" spans="1:2" x14ac:dyDescent="0.25">
      <c r="A263" s="2">
        <v>45747</v>
      </c>
      <c r="B263">
        <v>5248.39</v>
      </c>
    </row>
    <row r="264" spans="1:2" x14ac:dyDescent="0.25">
      <c r="A264" s="2">
        <v>45748</v>
      </c>
      <c r="B264">
        <v>5320.3</v>
      </c>
    </row>
    <row r="265" spans="1:2" x14ac:dyDescent="0.25">
      <c r="A265" s="2">
        <v>45749</v>
      </c>
      <c r="B265">
        <v>5303.95</v>
      </c>
    </row>
    <row r="266" spans="1:2" x14ac:dyDescent="0.25">
      <c r="A266" s="2">
        <v>45750</v>
      </c>
      <c r="B266">
        <v>5113.28</v>
      </c>
    </row>
    <row r="267" spans="1:2" x14ac:dyDescent="0.25">
      <c r="A267" s="2">
        <v>45751</v>
      </c>
      <c r="B267">
        <v>4878.3100000000004</v>
      </c>
    </row>
    <row r="268" spans="1:2" x14ac:dyDescent="0.25">
      <c r="A268" s="2">
        <v>45754</v>
      </c>
      <c r="B268">
        <v>4656.41</v>
      </c>
    </row>
    <row r="269" spans="1:2" x14ac:dyDescent="0.25">
      <c r="A269" s="2">
        <v>45755</v>
      </c>
      <c r="B269">
        <v>4773.6499999999996</v>
      </c>
    </row>
    <row r="270" spans="1:2" x14ac:dyDescent="0.25">
      <c r="A270" s="2">
        <v>45756</v>
      </c>
      <c r="B270">
        <v>4622.1400000000003</v>
      </c>
    </row>
    <row r="271" spans="1:2" x14ac:dyDescent="0.25">
      <c r="A271" s="2">
        <v>45757</v>
      </c>
      <c r="B271">
        <v>4818.92</v>
      </c>
    </row>
    <row r="272" spans="1:2" x14ac:dyDescent="0.25">
      <c r="A272" s="2">
        <v>45758</v>
      </c>
      <c r="B272">
        <v>4787.2299999999996</v>
      </c>
    </row>
    <row r="273" spans="1:2" x14ac:dyDescent="0.25">
      <c r="A273" s="2">
        <v>45761</v>
      </c>
      <c r="B273">
        <v>4911.3900000000003</v>
      </c>
    </row>
    <row r="274" spans="1:2" x14ac:dyDescent="0.25">
      <c r="A274" s="2">
        <v>45762</v>
      </c>
      <c r="B274">
        <v>4970.43</v>
      </c>
    </row>
    <row r="275" spans="1:2" x14ac:dyDescent="0.25">
      <c r="A275" s="2">
        <v>45763</v>
      </c>
      <c r="B275">
        <v>4966.5</v>
      </c>
    </row>
    <row r="276" spans="1:2" x14ac:dyDescent="0.25">
      <c r="A276" s="2">
        <v>45764</v>
      </c>
      <c r="B276">
        <v>4935.34</v>
      </c>
    </row>
    <row r="277" spans="1:2" x14ac:dyDescent="0.25">
      <c r="A277" s="2">
        <v>45769</v>
      </c>
      <c r="B277">
        <v>4961.45</v>
      </c>
    </row>
    <row r="278" spans="1:2" x14ac:dyDescent="0.25">
      <c r="A278" s="2">
        <v>45770</v>
      </c>
      <c r="B278">
        <v>5098.74</v>
      </c>
    </row>
    <row r="279" spans="1:2" x14ac:dyDescent="0.25">
      <c r="A279" s="2">
        <v>45771</v>
      </c>
      <c r="B279">
        <v>5114.9799999999996</v>
      </c>
    </row>
    <row r="280" spans="1:2" x14ac:dyDescent="0.25">
      <c r="A280" s="2">
        <v>45772</v>
      </c>
      <c r="B280">
        <v>5154.12</v>
      </c>
    </row>
    <row r="281" spans="1:2" x14ac:dyDescent="0.25">
      <c r="A281" s="2">
        <v>45775</v>
      </c>
      <c r="B281">
        <v>5170.49</v>
      </c>
    </row>
    <row r="282" spans="1:2" x14ac:dyDescent="0.25">
      <c r="A282" s="2">
        <v>45776</v>
      </c>
      <c r="B282">
        <v>5161.8999999999996</v>
      </c>
    </row>
    <row r="283" spans="1:2" x14ac:dyDescent="0.25">
      <c r="A283" s="2">
        <v>45777</v>
      </c>
      <c r="B283">
        <v>5160.22</v>
      </c>
    </row>
    <row r="284" spans="1:2" x14ac:dyDescent="0.25">
      <c r="A284" s="2">
        <v>45778</v>
      </c>
      <c r="B284">
        <v>5160.22</v>
      </c>
    </row>
    <row r="285" spans="1:2" x14ac:dyDescent="0.25">
      <c r="A285" s="2">
        <v>45779</v>
      </c>
      <c r="B285">
        <v>5285.19</v>
      </c>
    </row>
    <row r="286" spans="1:2" x14ac:dyDescent="0.25">
      <c r="A286" s="2">
        <v>45782</v>
      </c>
      <c r="B286">
        <v>5283.05</v>
      </c>
    </row>
    <row r="287" spans="1:2" x14ac:dyDescent="0.25">
      <c r="A287" s="2">
        <v>45783</v>
      </c>
      <c r="B287">
        <v>5263.38</v>
      </c>
    </row>
    <row r="288" spans="1:2" x14ac:dyDescent="0.25">
      <c r="A288" s="2">
        <v>45784</v>
      </c>
      <c r="B288">
        <v>5230.1899999999996</v>
      </c>
    </row>
    <row r="289" spans="1:2" x14ac:dyDescent="0.25">
      <c r="A289" s="2">
        <v>45785</v>
      </c>
      <c r="B289">
        <v>5288.94</v>
      </c>
    </row>
    <row r="290" spans="1:2" x14ac:dyDescent="0.25">
      <c r="A290" s="2">
        <v>45786</v>
      </c>
      <c r="B290">
        <v>5309.74</v>
      </c>
    </row>
    <row r="291" spans="1:2" x14ac:dyDescent="0.25">
      <c r="A291" s="2">
        <v>45789</v>
      </c>
      <c r="B291">
        <v>5392.36</v>
      </c>
    </row>
    <row r="292" spans="1:2" x14ac:dyDescent="0.25">
      <c r="A292" s="2">
        <v>45790</v>
      </c>
      <c r="B292">
        <v>5416.21</v>
      </c>
    </row>
    <row r="293" spans="1:2" x14ac:dyDescent="0.25">
      <c r="A293" s="2">
        <v>45791</v>
      </c>
      <c r="B293">
        <v>5403.44</v>
      </c>
    </row>
    <row r="294" spans="1:2" x14ac:dyDescent="0.25">
      <c r="A294" s="2">
        <v>45792</v>
      </c>
      <c r="B294">
        <v>5412.08</v>
      </c>
    </row>
    <row r="295" spans="1:2" x14ac:dyDescent="0.25">
      <c r="A295" s="2">
        <v>45793</v>
      </c>
      <c r="B295">
        <v>5427.53</v>
      </c>
    </row>
    <row r="296" spans="1:2" x14ac:dyDescent="0.25">
      <c r="A296" s="2">
        <v>45796</v>
      </c>
      <c r="B296">
        <v>5427.23</v>
      </c>
    </row>
    <row r="297" spans="1:2" x14ac:dyDescent="0.25">
      <c r="A297" s="2">
        <v>45797</v>
      </c>
      <c r="B297">
        <v>5454.65</v>
      </c>
    </row>
    <row r="298" spans="1:2" x14ac:dyDescent="0.25">
      <c r="A298" s="2">
        <v>45798</v>
      </c>
      <c r="B298">
        <v>5454.46</v>
      </c>
    </row>
    <row r="299" spans="1:2" x14ac:dyDescent="0.25">
      <c r="A299" s="2">
        <v>45799</v>
      </c>
      <c r="B299">
        <v>5424.48</v>
      </c>
    </row>
    <row r="300" spans="1:2" x14ac:dyDescent="0.25">
      <c r="A300" s="2">
        <v>45800</v>
      </c>
      <c r="B300">
        <v>5326.31</v>
      </c>
    </row>
    <row r="301" spans="1:2" x14ac:dyDescent="0.25">
      <c r="A301" s="2">
        <v>45803</v>
      </c>
      <c r="B301">
        <v>5395.33</v>
      </c>
    </row>
    <row r="302" spans="1:2" x14ac:dyDescent="0.25">
      <c r="A302" s="2">
        <v>45804</v>
      </c>
      <c r="B302">
        <v>5415.45</v>
      </c>
    </row>
    <row r="303" spans="1:2" x14ac:dyDescent="0.25">
      <c r="A303" s="2">
        <v>45805</v>
      </c>
      <c r="B303">
        <v>5378.39</v>
      </c>
    </row>
    <row r="304" spans="1:2" x14ac:dyDescent="0.25">
      <c r="A304" s="2">
        <v>45806</v>
      </c>
      <c r="B304">
        <v>5371.1</v>
      </c>
    </row>
    <row r="305" spans="1:2" x14ac:dyDescent="0.25">
      <c r="A305" s="2">
        <v>45807</v>
      </c>
      <c r="B305">
        <v>5366.59</v>
      </c>
    </row>
    <row r="306" spans="1:2" x14ac:dyDescent="0.25">
      <c r="A306" s="2">
        <v>45810</v>
      </c>
      <c r="B306">
        <v>5355.56</v>
      </c>
    </row>
    <row r="307" spans="1:2" x14ac:dyDescent="0.25">
      <c r="A307" s="2">
        <v>45811</v>
      </c>
      <c r="B307">
        <v>5375.7</v>
      </c>
    </row>
    <row r="308" spans="1:2" x14ac:dyDescent="0.25">
      <c r="A308" s="2">
        <v>45812</v>
      </c>
      <c r="B308">
        <v>5405.15</v>
      </c>
    </row>
    <row r="309" spans="1:2" x14ac:dyDescent="0.25">
      <c r="A309" s="2">
        <v>45813</v>
      </c>
      <c r="B309">
        <v>5410.55</v>
      </c>
    </row>
    <row r="310" spans="1:2" x14ac:dyDescent="0.25">
      <c r="A310" s="2">
        <v>45814</v>
      </c>
      <c r="B310">
        <v>5430.17</v>
      </c>
    </row>
    <row r="311" spans="1:2" x14ac:dyDescent="0.25">
      <c r="A311" s="2">
        <v>45817</v>
      </c>
      <c r="B311">
        <v>5421.52</v>
      </c>
    </row>
    <row r="312" spans="1:2" x14ac:dyDescent="0.25">
      <c r="A312" s="2">
        <v>45818</v>
      </c>
      <c r="B312">
        <v>5415.38</v>
      </c>
    </row>
    <row r="313" spans="1:2" x14ac:dyDescent="0.25">
      <c r="A313" s="2">
        <v>45819</v>
      </c>
      <c r="B313">
        <v>5393.15</v>
      </c>
    </row>
    <row r="314" spans="1:2" x14ac:dyDescent="0.25">
      <c r="A314" s="2">
        <v>45820</v>
      </c>
      <c r="B314">
        <v>5360.82</v>
      </c>
    </row>
    <row r="315" spans="1:2" x14ac:dyDescent="0.25">
      <c r="A315" s="2">
        <v>45821</v>
      </c>
      <c r="B315">
        <v>5290.47</v>
      </c>
    </row>
    <row r="316" spans="1:2" x14ac:dyDescent="0.25">
      <c r="A316" s="2">
        <v>45824</v>
      </c>
      <c r="B316">
        <v>5339.57</v>
      </c>
    </row>
    <row r="317" spans="1:2" x14ac:dyDescent="0.25">
      <c r="A317" s="2">
        <v>45825</v>
      </c>
      <c r="B317">
        <v>5288.68</v>
      </c>
    </row>
    <row r="318" spans="1:2" x14ac:dyDescent="0.25">
      <c r="A318" s="2">
        <v>45826</v>
      </c>
      <c r="B318">
        <v>5266.91</v>
      </c>
    </row>
    <row r="319" spans="1:2" x14ac:dyDescent="0.25">
      <c r="A319" s="2">
        <v>45827</v>
      </c>
      <c r="B319">
        <v>5197.03</v>
      </c>
    </row>
    <row r="320" spans="1:2" x14ac:dyDescent="0.25">
      <c r="A320" s="2">
        <v>45828</v>
      </c>
      <c r="B320">
        <v>5233.58</v>
      </c>
    </row>
    <row r="321" spans="1:2" x14ac:dyDescent="0.25">
      <c r="A321" s="2">
        <v>45831</v>
      </c>
      <c r="B321">
        <v>5221.8999999999996</v>
      </c>
    </row>
    <row r="322" spans="1:2" x14ac:dyDescent="0.25">
      <c r="A322" s="2">
        <v>45832</v>
      </c>
      <c r="B322">
        <v>5297.07</v>
      </c>
    </row>
    <row r="323" spans="1:2" x14ac:dyDescent="0.25">
      <c r="A323" s="2">
        <v>45833</v>
      </c>
      <c r="B323">
        <v>5252.01</v>
      </c>
    </row>
    <row r="324" spans="1:2" x14ac:dyDescent="0.25">
      <c r="A324" s="2">
        <v>45834</v>
      </c>
      <c r="B324">
        <v>5244.03</v>
      </c>
    </row>
    <row r="325" spans="1:2" x14ac:dyDescent="0.25">
      <c r="A325" s="2">
        <v>45835</v>
      </c>
      <c r="B325">
        <v>5325.64</v>
      </c>
    </row>
    <row r="326" spans="1:2" x14ac:dyDescent="0.25">
      <c r="A326" s="2">
        <v>45838</v>
      </c>
      <c r="B326">
        <v>5303.24</v>
      </c>
    </row>
    <row r="327" spans="1:2" x14ac:dyDescent="0.25">
      <c r="A327" s="2">
        <v>45839</v>
      </c>
      <c r="B327">
        <v>5282.43</v>
      </c>
    </row>
    <row r="328" spans="1:2" x14ac:dyDescent="0.25">
      <c r="A328" s="2">
        <v>45840</v>
      </c>
      <c r="B328">
        <v>5318.72</v>
      </c>
    </row>
    <row r="329" spans="1:2" x14ac:dyDescent="0.25">
      <c r="A329" s="2">
        <v>45841</v>
      </c>
      <c r="B329">
        <v>5343.15</v>
      </c>
    </row>
    <row r="330" spans="1:2" x14ac:dyDescent="0.25">
      <c r="A330" s="2">
        <v>45842</v>
      </c>
      <c r="B330">
        <v>5288.81</v>
      </c>
    </row>
    <row r="331" spans="1:2" x14ac:dyDescent="0.25">
      <c r="A331" s="2">
        <v>45845</v>
      </c>
      <c r="B331">
        <v>5341.54</v>
      </c>
    </row>
    <row r="332" spans="1:2" x14ac:dyDescent="0.25">
      <c r="A332" s="2">
        <v>45846</v>
      </c>
      <c r="B332">
        <v>5371.95</v>
      </c>
    </row>
    <row r="333" spans="1:2" x14ac:dyDescent="0.25">
      <c r="A333" s="2">
        <v>45847</v>
      </c>
      <c r="B333">
        <v>5445.65</v>
      </c>
    </row>
    <row r="334" spans="1:2" x14ac:dyDescent="0.25">
      <c r="A334" s="2">
        <v>45848</v>
      </c>
      <c r="B334">
        <v>5438.27</v>
      </c>
    </row>
    <row r="335" spans="1:2" x14ac:dyDescent="0.25">
      <c r="A335" s="2">
        <v>45849</v>
      </c>
      <c r="B335">
        <v>5383.48</v>
      </c>
    </row>
    <row r="336" spans="1:2" x14ac:dyDescent="0.25">
      <c r="A336" s="2">
        <v>45852</v>
      </c>
      <c r="B336">
        <v>5370.85</v>
      </c>
    </row>
    <row r="337" spans="1:2" x14ac:dyDescent="0.25">
      <c r="A337" s="2">
        <v>45853</v>
      </c>
      <c r="B337">
        <v>5354.17</v>
      </c>
    </row>
    <row r="338" spans="1:2" x14ac:dyDescent="0.25">
      <c r="A338" s="2">
        <v>45854</v>
      </c>
      <c r="B338">
        <v>5298.07</v>
      </c>
    </row>
    <row r="339" spans="1:2" x14ac:dyDescent="0.25">
      <c r="A339" s="2">
        <v>45855</v>
      </c>
      <c r="B339">
        <v>5377.15</v>
      </c>
    </row>
    <row r="340" spans="1:2" x14ac:dyDescent="0.25">
      <c r="A340" s="2">
        <v>45856</v>
      </c>
      <c r="B340">
        <v>5359.23</v>
      </c>
    </row>
    <row r="341" spans="1:2" x14ac:dyDescent="0.25">
      <c r="A341" s="2">
        <v>45859</v>
      </c>
      <c r="B341">
        <v>5342.98</v>
      </c>
    </row>
    <row r="342" spans="1:2" x14ac:dyDescent="0.25">
      <c r="A342" s="2">
        <v>45860</v>
      </c>
      <c r="B342">
        <v>5290.48</v>
      </c>
    </row>
    <row r="343" spans="1:2" x14ac:dyDescent="0.25">
      <c r="A343" s="2">
        <v>45861</v>
      </c>
      <c r="B343">
        <v>5344.25</v>
      </c>
    </row>
    <row r="344" spans="1:2" x14ac:dyDescent="0.25">
      <c r="A344" s="2">
        <v>45862</v>
      </c>
      <c r="B344">
        <v>5355.2</v>
      </c>
    </row>
    <row r="345" spans="1:2" x14ac:dyDescent="0.25">
      <c r="A345" s="2">
        <v>45863</v>
      </c>
      <c r="B345">
        <v>5352.16</v>
      </c>
    </row>
    <row r="346" spans="1:2" x14ac:dyDescent="0.25">
      <c r="A346" s="2">
        <v>45866</v>
      </c>
      <c r="B346">
        <v>5337.58</v>
      </c>
    </row>
    <row r="347" spans="1:2" x14ac:dyDescent="0.25">
      <c r="A347" s="2">
        <v>45867</v>
      </c>
      <c r="B347">
        <v>5379.2</v>
      </c>
    </row>
    <row r="348" spans="1:2" x14ac:dyDescent="0.25">
      <c r="A348" s="2">
        <v>45868</v>
      </c>
      <c r="B348">
        <v>5393.18</v>
      </c>
    </row>
    <row r="349" spans="1:2" x14ac:dyDescent="0.25">
      <c r="A349" s="2">
        <v>45869</v>
      </c>
      <c r="B349">
        <v>5319.92</v>
      </c>
    </row>
    <row r="350" spans="1:2" x14ac:dyDescent="0.25">
      <c r="A350" s="2">
        <v>45870</v>
      </c>
      <c r="B350">
        <v>5165.6000000000004</v>
      </c>
    </row>
    <row r="351" spans="1:2" x14ac:dyDescent="0.25">
      <c r="A351" s="2">
        <v>45873</v>
      </c>
      <c r="B351">
        <v>5242.32</v>
      </c>
    </row>
    <row r="352" spans="1:2" x14ac:dyDescent="0.25">
      <c r="A352" s="2">
        <v>45874</v>
      </c>
      <c r="B352">
        <v>5249.59</v>
      </c>
    </row>
    <row r="353" spans="1:2" x14ac:dyDescent="0.25">
      <c r="A353" s="2">
        <v>45875</v>
      </c>
      <c r="B353">
        <v>5263.29</v>
      </c>
    </row>
    <row r="354" spans="1:2" x14ac:dyDescent="0.25">
      <c r="A354" s="2">
        <v>45876</v>
      </c>
      <c r="B354">
        <v>5332.07</v>
      </c>
    </row>
    <row r="355" spans="1:2" x14ac:dyDescent="0.25">
      <c r="A355" s="2">
        <v>45877</v>
      </c>
      <c r="B355">
        <v>5347.74</v>
      </c>
    </row>
    <row r="356" spans="1:2" x14ac:dyDescent="0.25">
      <c r="A356" s="2">
        <v>45880</v>
      </c>
      <c r="B356">
        <v>5331.85</v>
      </c>
    </row>
    <row r="357" spans="1:2" x14ac:dyDescent="0.25">
      <c r="A357" s="2">
        <v>45881</v>
      </c>
      <c r="B357">
        <v>5335.97</v>
      </c>
    </row>
    <row r="358" spans="1:2" x14ac:dyDescent="0.25">
      <c r="A358" s="2">
        <v>45882</v>
      </c>
      <c r="B358">
        <v>5388.25</v>
      </c>
    </row>
    <row r="359" spans="1:2" x14ac:dyDescent="0.25">
      <c r="A359" s="2">
        <v>45883</v>
      </c>
      <c r="B359">
        <v>5434.7</v>
      </c>
    </row>
    <row r="360" spans="1:2" x14ac:dyDescent="0.25">
      <c r="A360" s="2">
        <v>45884</v>
      </c>
      <c r="B360">
        <v>5448.61</v>
      </c>
    </row>
    <row r="361" spans="1:2" x14ac:dyDescent="0.25">
      <c r="A361" s="2">
        <v>45887</v>
      </c>
      <c r="B361">
        <v>5434.64</v>
      </c>
    </row>
    <row r="362" spans="1:2" x14ac:dyDescent="0.25">
      <c r="A362" s="2">
        <v>45888</v>
      </c>
      <c r="B362">
        <v>5483.28</v>
      </c>
    </row>
    <row r="363" spans="1:2" x14ac:dyDescent="0.25">
      <c r="A363" s="2">
        <v>45889</v>
      </c>
      <c r="B363">
        <v>5472.32</v>
      </c>
    </row>
    <row r="364" spans="1:2" x14ac:dyDescent="0.25">
      <c r="A364" s="2">
        <v>45890</v>
      </c>
      <c r="B364">
        <v>5462.16</v>
      </c>
    </row>
    <row r="365" spans="1:2" x14ac:dyDescent="0.25">
      <c r="A365" s="2">
        <v>45891</v>
      </c>
      <c r="B365">
        <v>5488.23</v>
      </c>
    </row>
    <row r="366" spans="1:2" x14ac:dyDescent="0.25">
      <c r="A366" s="2">
        <v>45894</v>
      </c>
      <c r="B366">
        <v>5443.96</v>
      </c>
    </row>
    <row r="367" spans="1:2" x14ac:dyDescent="0.25">
      <c r="A367" s="2">
        <v>45895</v>
      </c>
      <c r="B367">
        <v>5383.68</v>
      </c>
    </row>
    <row r="368" spans="1:2" x14ac:dyDescent="0.25">
      <c r="A368" s="2">
        <v>45896</v>
      </c>
      <c r="B368">
        <v>5393.07</v>
      </c>
    </row>
    <row r="369" spans="1:2" x14ac:dyDescent="0.25">
      <c r="A369" s="2">
        <v>45897</v>
      </c>
      <c r="B369">
        <v>5396.73</v>
      </c>
    </row>
    <row r="370" spans="1:2" x14ac:dyDescent="0.25">
      <c r="A370" s="2">
        <v>45898</v>
      </c>
      <c r="B370">
        <v>5351.73</v>
      </c>
    </row>
    <row r="371" spans="1:2" x14ac:dyDescent="0.25">
      <c r="A371" s="2">
        <v>45901</v>
      </c>
      <c r="B371">
        <v>5367.08</v>
      </c>
    </row>
    <row r="372" spans="1:2" x14ac:dyDescent="0.25">
      <c r="A372" s="2">
        <v>45902</v>
      </c>
      <c r="B372">
        <v>5291.04</v>
      </c>
    </row>
    <row r="373" spans="1:2" x14ac:dyDescent="0.25">
      <c r="A373" s="2">
        <v>45903</v>
      </c>
      <c r="B373">
        <v>5325.01</v>
      </c>
    </row>
    <row r="374" spans="1:2" x14ac:dyDescent="0.25">
      <c r="A374" s="2">
        <v>45904</v>
      </c>
      <c r="B374">
        <v>5346.71</v>
      </c>
    </row>
    <row r="375" spans="1:2" x14ac:dyDescent="0.25">
      <c r="A375" s="2">
        <v>45905</v>
      </c>
      <c r="B375">
        <v>5318.15</v>
      </c>
    </row>
    <row r="376" spans="1:2" x14ac:dyDescent="0.25">
      <c r="A376" s="2">
        <v>45908</v>
      </c>
      <c r="B376">
        <v>5362.81</v>
      </c>
    </row>
    <row r="377" spans="1:2" x14ac:dyDescent="0.25">
      <c r="A377" s="2">
        <v>45909</v>
      </c>
      <c r="B377">
        <v>5368.82</v>
      </c>
    </row>
    <row r="378" spans="1:2" x14ac:dyDescent="0.25">
      <c r="A378" s="2">
        <v>45910</v>
      </c>
      <c r="B378">
        <v>5361.47</v>
      </c>
    </row>
    <row r="379" spans="1:2" x14ac:dyDescent="0.25">
      <c r="A379" s="2">
        <v>45911</v>
      </c>
      <c r="B379">
        <v>5386.77</v>
      </c>
    </row>
    <row r="380" spans="1:2" x14ac:dyDescent="0.25">
      <c r="A380" s="2">
        <v>45912</v>
      </c>
      <c r="B380">
        <v>5390.71</v>
      </c>
    </row>
    <row r="381" spans="1:2" x14ac:dyDescent="0.25">
      <c r="A381" s="2">
        <v>45915</v>
      </c>
      <c r="B381">
        <v>5440.4</v>
      </c>
    </row>
    <row r="382" spans="1:2" x14ac:dyDescent="0.25">
      <c r="A382" s="2">
        <v>45916</v>
      </c>
      <c r="B382">
        <v>5372.31</v>
      </c>
    </row>
    <row r="383" spans="1:2" x14ac:dyDescent="0.25">
      <c r="A383" s="2">
        <v>45917</v>
      </c>
      <c r="B383">
        <v>5369.7</v>
      </c>
    </row>
    <row r="384" spans="1:2" x14ac:dyDescent="0.25">
      <c r="A384" s="2">
        <v>45918</v>
      </c>
      <c r="B384">
        <v>5456.67</v>
      </c>
    </row>
    <row r="385" spans="1:2" x14ac:dyDescent="0.25">
      <c r="A385" s="2">
        <v>45919</v>
      </c>
      <c r="B385">
        <v>5458.42</v>
      </c>
    </row>
    <row r="386" spans="1:2" x14ac:dyDescent="0.25">
      <c r="A386" s="2">
        <v>45922</v>
      </c>
      <c r="B386">
        <v>5442.05</v>
      </c>
    </row>
    <row r="387" spans="1:2" x14ac:dyDescent="0.25">
      <c r="A387" s="2">
        <v>45923</v>
      </c>
      <c r="B387">
        <v>5472.39</v>
      </c>
    </row>
    <row r="388" spans="1:2" x14ac:dyDescent="0.25">
      <c r="A388" s="2">
        <v>45924</v>
      </c>
      <c r="B388">
        <v>5464.56</v>
      </c>
    </row>
    <row r="389" spans="1:2" x14ac:dyDescent="0.25">
      <c r="A389" s="2">
        <v>45925</v>
      </c>
      <c r="B389">
        <v>5444.89</v>
      </c>
    </row>
    <row r="390" spans="1:2" x14ac:dyDescent="0.25">
      <c r="A390" s="2">
        <v>45926</v>
      </c>
      <c r="B390">
        <v>5499.7</v>
      </c>
    </row>
    <row r="391" spans="1:2" x14ac:dyDescent="0.25">
      <c r="A391" s="2">
        <v>45929</v>
      </c>
      <c r="B391">
        <v>5506.85</v>
      </c>
    </row>
    <row r="392" spans="1:2" x14ac:dyDescent="0.25">
      <c r="A392" s="2">
        <v>45930</v>
      </c>
      <c r="B392">
        <v>5529.96</v>
      </c>
    </row>
    <row r="393" spans="1:2" x14ac:dyDescent="0.25">
      <c r="A393" s="2">
        <v>45931</v>
      </c>
      <c r="B393">
        <v>5581.21</v>
      </c>
    </row>
    <row r="394" spans="1:2" x14ac:dyDescent="0.25">
      <c r="A394" s="2">
        <v>45932</v>
      </c>
      <c r="B394">
        <v>5645.81</v>
      </c>
    </row>
    <row r="395" spans="1:2" x14ac:dyDescent="0.25">
      <c r="A395" s="2">
        <v>45933</v>
      </c>
      <c r="B395">
        <v>5651.71</v>
      </c>
    </row>
    <row r="396" spans="1:2" x14ac:dyDescent="0.25">
      <c r="A396" s="2">
        <v>45936</v>
      </c>
      <c r="B396">
        <v>5628.72</v>
      </c>
    </row>
    <row r="397" spans="1:2" x14ac:dyDescent="0.25">
      <c r="A397" s="2">
        <v>45937</v>
      </c>
      <c r="B397">
        <v>5613.62</v>
      </c>
    </row>
    <row r="398" spans="1:2" x14ac:dyDescent="0.25">
      <c r="A398" s="2">
        <v>45938</v>
      </c>
      <c r="B398">
        <v>5649.73</v>
      </c>
    </row>
    <row r="399" spans="1:2" x14ac:dyDescent="0.25">
      <c r="A399" s="2">
        <v>45939</v>
      </c>
      <c r="B399">
        <v>5625.56</v>
      </c>
    </row>
    <row r="400" spans="1:2" x14ac:dyDescent="0.25">
      <c r="A400" s="2">
        <v>45940</v>
      </c>
      <c r="B400">
        <v>5531.32</v>
      </c>
    </row>
    <row r="401" spans="1:2" x14ac:dyDescent="0.25">
      <c r="A401" s="2">
        <v>45943</v>
      </c>
      <c r="B401">
        <v>5568.19</v>
      </c>
    </row>
    <row r="402" spans="1:2" x14ac:dyDescent="0.25">
      <c r="A402" s="2">
        <v>45944</v>
      </c>
      <c r="B402">
        <v>5552.05</v>
      </c>
    </row>
    <row r="403" spans="1:2" x14ac:dyDescent="0.25">
      <c r="A403" s="2">
        <v>45945</v>
      </c>
      <c r="B403">
        <v>5605.03</v>
      </c>
    </row>
    <row r="404" spans="1:2" x14ac:dyDescent="0.25">
      <c r="A404" s="2">
        <v>45946</v>
      </c>
      <c r="B404">
        <v>5652.01</v>
      </c>
    </row>
    <row r="405" spans="1:2" x14ac:dyDescent="0.25">
      <c r="A405" s="2">
        <v>45947</v>
      </c>
      <c r="B405">
        <v>5607.39</v>
      </c>
    </row>
    <row r="406" spans="1:2" x14ac:dyDescent="0.25">
      <c r="A406" s="2">
        <v>45950</v>
      </c>
      <c r="B406">
        <v>5680.93</v>
      </c>
    </row>
    <row r="407" spans="1:2" x14ac:dyDescent="0.25">
      <c r="A407" s="2">
        <v>45951</v>
      </c>
      <c r="B407">
        <v>5686.83</v>
      </c>
    </row>
    <row r="408" spans="1:2" x14ac:dyDescent="0.25">
      <c r="A408" s="2">
        <v>45952</v>
      </c>
      <c r="B408">
        <v>5639.21</v>
      </c>
    </row>
    <row r="409" spans="1:2" x14ac:dyDescent="0.25">
      <c r="A409" s="2">
        <v>45953</v>
      </c>
      <c r="B409">
        <v>5668.33</v>
      </c>
    </row>
    <row r="410" spans="1:2" x14ac:dyDescent="0.25">
      <c r="A410" s="2">
        <v>45954</v>
      </c>
      <c r="B410">
        <v>5674.5</v>
      </c>
    </row>
    <row r="411" spans="1:2" x14ac:dyDescent="0.25">
      <c r="A411" s="2">
        <v>45957</v>
      </c>
      <c r="B411">
        <v>5711.06</v>
      </c>
    </row>
    <row r="412" spans="1:2" x14ac:dyDescent="0.25">
      <c r="A412" s="2">
        <v>45958</v>
      </c>
      <c r="B412">
        <v>5704.35</v>
      </c>
    </row>
    <row r="413" spans="1:2" x14ac:dyDescent="0.25">
      <c r="A413" s="2">
        <v>45959</v>
      </c>
      <c r="B413">
        <v>5705.81</v>
      </c>
    </row>
    <row r="414" spans="1:2" x14ac:dyDescent="0.25">
      <c r="A414" s="2">
        <v>45960</v>
      </c>
      <c r="B414">
        <v>5699.18</v>
      </c>
    </row>
    <row r="415" spans="1:2" x14ac:dyDescent="0.25">
      <c r="A415" s="2">
        <v>45961</v>
      </c>
      <c r="B415">
        <v>5662.04</v>
      </c>
    </row>
    <row r="416" spans="1:2" x14ac:dyDescent="0.25">
      <c r="A416" s="2">
        <v>45964</v>
      </c>
      <c r="B416">
        <v>5679.25</v>
      </c>
    </row>
    <row r="417" spans="1:2" x14ac:dyDescent="0.25">
      <c r="A417" s="2">
        <v>45965</v>
      </c>
      <c r="B417">
        <v>5660.2</v>
      </c>
    </row>
    <row r="418" spans="1:2" x14ac:dyDescent="0.25">
      <c r="A418" s="2">
        <v>45966</v>
      </c>
      <c r="B418">
        <v>5669.13</v>
      </c>
    </row>
    <row r="419" spans="1:2" x14ac:dyDescent="0.25">
      <c r="A419" s="2">
        <v>45967</v>
      </c>
      <c r="B419">
        <v>5611.18</v>
      </c>
    </row>
    <row r="420" spans="1:2" x14ac:dyDescent="0.25">
      <c r="A420" s="2">
        <v>45968</v>
      </c>
      <c r="B420">
        <v>5566.53</v>
      </c>
    </row>
    <row r="421" spans="1:2" x14ac:dyDescent="0.25">
      <c r="A421" s="2">
        <v>45971</v>
      </c>
      <c r="B421">
        <v>5664.46</v>
      </c>
    </row>
    <row r="422" spans="1:2" x14ac:dyDescent="0.25">
      <c r="A422" s="2">
        <v>45972</v>
      </c>
      <c r="B422">
        <v>5725.7</v>
      </c>
    </row>
    <row r="423" spans="1:2" x14ac:dyDescent="0.25">
      <c r="A423" s="2">
        <v>45973</v>
      </c>
      <c r="B423">
        <v>5787.31</v>
      </c>
    </row>
    <row r="424" spans="1:2" x14ac:dyDescent="0.25">
      <c r="A424" s="2">
        <v>45974</v>
      </c>
      <c r="B424">
        <v>5742.79</v>
      </c>
    </row>
    <row r="425" spans="1:2" x14ac:dyDescent="0.25">
      <c r="A425" s="2">
        <v>45975</v>
      </c>
      <c r="B425">
        <v>5693.77</v>
      </c>
    </row>
    <row r="426" spans="1:2" x14ac:dyDescent="0.25">
      <c r="A426" s="2">
        <v>45978</v>
      </c>
      <c r="B426">
        <v>5640.94</v>
      </c>
    </row>
    <row r="427" spans="1:2" x14ac:dyDescent="0.25">
      <c r="A427" s="2">
        <v>45979</v>
      </c>
      <c r="B427">
        <v>5534.71</v>
      </c>
    </row>
    <row r="428" spans="1:2" x14ac:dyDescent="0.25">
      <c r="A428" s="2">
        <v>45980</v>
      </c>
      <c r="B428">
        <v>5542.05</v>
      </c>
    </row>
    <row r="429" spans="1:2" x14ac:dyDescent="0.25">
      <c r="A429" s="2">
        <v>45981</v>
      </c>
      <c r="B429">
        <v>5569.92</v>
      </c>
    </row>
    <row r="430" spans="1:2" x14ac:dyDescent="0.25">
      <c r="A430" s="2">
        <v>45982</v>
      </c>
      <c r="B430">
        <v>5515.09</v>
      </c>
    </row>
    <row r="431" spans="1:2" x14ac:dyDescent="0.25">
      <c r="A431" s="2">
        <v>45985</v>
      </c>
      <c r="B431">
        <v>5528.67</v>
      </c>
    </row>
    <row r="432" spans="1:2" x14ac:dyDescent="0.25">
      <c r="A432" s="2">
        <v>45986</v>
      </c>
      <c r="B432">
        <v>5573.91</v>
      </c>
    </row>
    <row r="433" spans="1:2" x14ac:dyDescent="0.25">
      <c r="A433" s="2">
        <v>45987</v>
      </c>
      <c r="B433">
        <v>5655.58</v>
      </c>
    </row>
    <row r="434" spans="1:2" x14ac:dyDescent="0.25">
      <c r="A434" s="2">
        <v>45988</v>
      </c>
      <c r="B434">
        <v>5653.17</v>
      </c>
    </row>
    <row r="435" spans="1:2" x14ac:dyDescent="0.25">
      <c r="A435" s="2">
        <v>45989</v>
      </c>
      <c r="B435">
        <v>5668.17</v>
      </c>
    </row>
    <row r="436" spans="1:2" x14ac:dyDescent="0.25">
      <c r="A436" s="2">
        <v>45992</v>
      </c>
      <c r="B436">
        <v>5667.48</v>
      </c>
    </row>
    <row r="437" spans="1:2" x14ac:dyDescent="0.25">
      <c r="A437" s="2">
        <v>45993</v>
      </c>
      <c r="B437">
        <v>5686.17</v>
      </c>
    </row>
    <row r="438" spans="1:2" x14ac:dyDescent="0.25">
      <c r="A438" s="2">
        <v>45994</v>
      </c>
      <c r="B438">
        <v>5694.56</v>
      </c>
    </row>
    <row r="439" spans="1:2" x14ac:dyDescent="0.25">
      <c r="A439" s="2">
        <v>45995</v>
      </c>
      <c r="B439">
        <v>5718.08</v>
      </c>
    </row>
    <row r="440" spans="1:2" x14ac:dyDescent="0.25">
      <c r="A440" s="2">
        <v>45996</v>
      </c>
      <c r="B440">
        <v>5723.93</v>
      </c>
    </row>
    <row r="441" spans="1:2" x14ac:dyDescent="0.25">
      <c r="A441" s="2">
        <v>45999</v>
      </c>
      <c r="B441">
        <v>5725.59</v>
      </c>
    </row>
    <row r="442" spans="1:2" x14ac:dyDescent="0.25">
      <c r="A442" s="2">
        <v>46000</v>
      </c>
      <c r="B442">
        <v>5718.32</v>
      </c>
    </row>
    <row r="443" spans="1:2" x14ac:dyDescent="0.25">
      <c r="A443" s="2">
        <v>46001</v>
      </c>
      <c r="B443">
        <v>5708.12</v>
      </c>
    </row>
    <row r="444" spans="1:2" x14ac:dyDescent="0.25">
      <c r="A444" s="2">
        <v>46002</v>
      </c>
      <c r="B444">
        <v>5753.96</v>
      </c>
    </row>
    <row r="445" spans="1:2" x14ac:dyDescent="0.25">
      <c r="A445" s="2">
        <v>46003</v>
      </c>
      <c r="B445">
        <v>5720.71</v>
      </c>
    </row>
    <row r="446" spans="1:2" x14ac:dyDescent="0.25">
      <c r="A446" s="2">
        <v>46006</v>
      </c>
      <c r="B446">
        <v>5752.52</v>
      </c>
    </row>
    <row r="447" spans="1:2" x14ac:dyDescent="0.25">
      <c r="A447" s="2">
        <v>46007</v>
      </c>
      <c r="B447">
        <v>5717.83</v>
      </c>
    </row>
    <row r="448" spans="1:2" x14ac:dyDescent="0.25">
      <c r="A448" s="2">
        <v>46008</v>
      </c>
      <c r="B448">
        <v>5681.67</v>
      </c>
    </row>
    <row r="449" spans="1:2" x14ac:dyDescent="0.25">
      <c r="A449" s="2">
        <v>46009</v>
      </c>
      <c r="B449">
        <v>5741.71</v>
      </c>
    </row>
    <row r="450" spans="1:2" x14ac:dyDescent="0.25">
      <c r="A450" s="2">
        <v>46010</v>
      </c>
      <c r="B450">
        <v>5760.35</v>
      </c>
    </row>
    <row r="451" spans="1:2" x14ac:dyDescent="0.25">
      <c r="A451" s="2">
        <v>46013</v>
      </c>
      <c r="B451">
        <v>5743.69</v>
      </c>
    </row>
    <row r="452" spans="1:2" x14ac:dyDescent="0.25">
      <c r="A452" s="2">
        <v>46014</v>
      </c>
      <c r="B452">
        <v>5749.28</v>
      </c>
    </row>
    <row r="453" spans="1:2" x14ac:dyDescent="0.25">
      <c r="A453" s="2">
        <v>46015</v>
      </c>
      <c r="B453">
        <v>5746.24</v>
      </c>
    </row>
    <row r="454" spans="1:2" x14ac:dyDescent="0.25">
      <c r="A454" s="2">
        <v>46020</v>
      </c>
      <c r="B454">
        <v>5751.71</v>
      </c>
    </row>
    <row r="455" spans="1:2" x14ac:dyDescent="0.25">
      <c r="A455" s="2">
        <v>46021</v>
      </c>
      <c r="B455">
        <v>5796.22</v>
      </c>
    </row>
    <row r="456" spans="1:2" x14ac:dyDescent="0.25">
      <c r="A456" s="2">
        <v>46022</v>
      </c>
      <c r="B456">
        <v>5791.41</v>
      </c>
    </row>
    <row r="457" spans="1:2" x14ac:dyDescent="0.25">
      <c r="A457" s="2">
        <v>46024</v>
      </c>
      <c r="B457">
        <v>5850.38</v>
      </c>
    </row>
    <row r="458" spans="1:2" x14ac:dyDescent="0.25">
      <c r="A458" s="2">
        <v>46027</v>
      </c>
      <c r="B458">
        <v>5923.69</v>
      </c>
    </row>
    <row r="459" spans="1:2" x14ac:dyDescent="0.25">
      <c r="A459" s="2">
        <v>46028</v>
      </c>
      <c r="B459">
        <v>5931.79</v>
      </c>
    </row>
    <row r="460" spans="1:2" x14ac:dyDescent="0.25">
      <c r="A460" s="2">
        <v>46029</v>
      </c>
      <c r="B460">
        <v>5923.57</v>
      </c>
    </row>
    <row r="461" spans="1:2" x14ac:dyDescent="0.25">
      <c r="A461" s="2">
        <v>46030</v>
      </c>
      <c r="B461">
        <v>5904.32</v>
      </c>
    </row>
    <row r="462" spans="1:2" x14ac:dyDescent="0.25">
      <c r="A462" s="2">
        <v>46031</v>
      </c>
      <c r="B462">
        <v>5997.47</v>
      </c>
    </row>
    <row r="463" spans="1:2" x14ac:dyDescent="0.25">
      <c r="A463" s="2">
        <v>46034</v>
      </c>
      <c r="B463">
        <v>6016.3</v>
      </c>
    </row>
    <row r="464" spans="1:2" x14ac:dyDescent="0.25">
      <c r="A464" s="2">
        <v>46035</v>
      </c>
      <c r="B464">
        <v>6029.83</v>
      </c>
    </row>
    <row r="465" spans="1:2" x14ac:dyDescent="0.25">
      <c r="A465" s="2">
        <v>46036</v>
      </c>
      <c r="B465">
        <v>6005.05</v>
      </c>
    </row>
    <row r="466" spans="1:2" x14ac:dyDescent="0.25">
      <c r="A466" s="2">
        <v>46037</v>
      </c>
      <c r="B466">
        <v>6041.14</v>
      </c>
    </row>
    <row r="467" spans="1:2" x14ac:dyDescent="0.25">
      <c r="A467" s="2">
        <v>46038</v>
      </c>
      <c r="B467">
        <v>6029.45</v>
      </c>
    </row>
    <row r="468" spans="1:2" x14ac:dyDescent="0.25">
      <c r="A468" s="2">
        <v>46041</v>
      </c>
      <c r="B468">
        <v>5925.82</v>
      </c>
    </row>
    <row r="469" spans="1:2" x14ac:dyDescent="0.25">
      <c r="A469" s="2">
        <v>46042</v>
      </c>
      <c r="B469">
        <v>5892.08</v>
      </c>
    </row>
    <row r="470" spans="1:2" x14ac:dyDescent="0.25">
      <c r="A470" s="2">
        <v>46043</v>
      </c>
      <c r="B470">
        <v>5882.88</v>
      </c>
    </row>
    <row r="471" spans="1:2" x14ac:dyDescent="0.25">
      <c r="A471" s="2">
        <v>46044</v>
      </c>
      <c r="B471">
        <v>5956.17</v>
      </c>
    </row>
    <row r="472" spans="1:2" x14ac:dyDescent="0.25">
      <c r="A472" s="2">
        <v>46045</v>
      </c>
      <c r="B472">
        <v>5948.2</v>
      </c>
    </row>
    <row r="473" spans="1:2" x14ac:dyDescent="0.25">
      <c r="A473" s="2">
        <v>46048</v>
      </c>
      <c r="B473">
        <v>5957.8</v>
      </c>
    </row>
    <row r="474" spans="1:2" x14ac:dyDescent="0.25">
      <c r="A474" s="2">
        <v>46049</v>
      </c>
      <c r="B474">
        <v>5994.59</v>
      </c>
    </row>
    <row r="475" spans="1:2" x14ac:dyDescent="0.25">
      <c r="A475" s="2">
        <v>46050</v>
      </c>
      <c r="B475">
        <v>5933.2</v>
      </c>
    </row>
    <row r="476" spans="1:2" x14ac:dyDescent="0.25">
      <c r="A476" s="2">
        <v>46051</v>
      </c>
      <c r="B476">
        <v>5891.95</v>
      </c>
    </row>
    <row r="477" spans="1:2" x14ac:dyDescent="0.25">
      <c r="A477" s="2">
        <v>46052</v>
      </c>
      <c r="B477">
        <v>5947.81</v>
      </c>
    </row>
    <row r="478" spans="1:2" x14ac:dyDescent="0.25">
      <c r="A478" s="2">
        <v>46055</v>
      </c>
      <c r="B478">
        <v>6007.51</v>
      </c>
    </row>
    <row r="479" spans="1:2" x14ac:dyDescent="0.25">
      <c r="A479" s="2">
        <v>46056</v>
      </c>
      <c r="B479">
        <v>5995.35</v>
      </c>
    </row>
    <row r="480" spans="1:2" x14ac:dyDescent="0.25">
      <c r="A480" s="2">
        <v>46057</v>
      </c>
      <c r="B480">
        <v>5970.47</v>
      </c>
    </row>
    <row r="481" spans="1:2" x14ac:dyDescent="0.25">
      <c r="A481" s="2">
        <v>46058</v>
      </c>
      <c r="B481">
        <v>5925.7</v>
      </c>
    </row>
    <row r="482" spans="1:2" x14ac:dyDescent="0.25">
      <c r="A482" s="2">
        <v>46059</v>
      </c>
      <c r="B482">
        <v>5998.4</v>
      </c>
    </row>
    <row r="483" spans="1:2" x14ac:dyDescent="0.25">
      <c r="A483" s="2">
        <v>46062</v>
      </c>
      <c r="B483">
        <v>6059.01</v>
      </c>
    </row>
    <row r="484" spans="1:2" x14ac:dyDescent="0.25">
      <c r="A484" s="2">
        <v>46063</v>
      </c>
      <c r="B484">
        <v>6047.06</v>
      </c>
    </row>
    <row r="485" spans="1:2" x14ac:dyDescent="0.25">
      <c r="A485" s="2">
        <v>46064</v>
      </c>
      <c r="B485">
        <v>6035.64</v>
      </c>
    </row>
    <row r="486" spans="1:2" x14ac:dyDescent="0.25">
      <c r="A486" s="2">
        <v>46065</v>
      </c>
      <c r="B486">
        <v>6011.29</v>
      </c>
    </row>
    <row r="487" spans="1:2" x14ac:dyDescent="0.25">
      <c r="A487" s="2">
        <v>46066</v>
      </c>
      <c r="B487">
        <v>5985.23</v>
      </c>
    </row>
    <row r="488" spans="1:2" x14ac:dyDescent="0.25">
      <c r="A488" s="2">
        <v>46069</v>
      </c>
      <c r="B488">
        <v>5978.88</v>
      </c>
    </row>
    <row r="489" spans="1:2" x14ac:dyDescent="0.25">
      <c r="A489" s="2">
        <v>46070</v>
      </c>
      <c r="B489">
        <v>6021.85</v>
      </c>
    </row>
    <row r="490" spans="1:2" x14ac:dyDescent="0.25">
      <c r="A490" s="2">
        <v>46071</v>
      </c>
      <c r="B490">
        <v>6103.37</v>
      </c>
    </row>
    <row r="491" spans="1:2" x14ac:dyDescent="0.25">
      <c r="A491" s="2">
        <v>46072</v>
      </c>
      <c r="B491">
        <v>6059.62</v>
      </c>
    </row>
    <row r="492" spans="1:2" x14ac:dyDescent="0.25">
      <c r="A492" s="2">
        <v>46073</v>
      </c>
      <c r="B492">
        <v>6131.31</v>
      </c>
    </row>
    <row r="493" spans="1:2" x14ac:dyDescent="0.25">
      <c r="A493" s="2">
        <v>46076</v>
      </c>
      <c r="B493">
        <v>6113.92</v>
      </c>
    </row>
    <row r="494" spans="1:2" x14ac:dyDescent="0.25">
      <c r="A494" s="2">
        <v>46077</v>
      </c>
      <c r="B494">
        <v>6116.6</v>
      </c>
    </row>
    <row r="495" spans="1:2" x14ac:dyDescent="0.25">
      <c r="A495" s="2">
        <v>46078</v>
      </c>
      <c r="B495">
        <v>6173.32</v>
      </c>
    </row>
    <row r="496" spans="1:2" x14ac:dyDescent="0.25">
      <c r="A496" s="2">
        <v>46079</v>
      </c>
      <c r="B496">
        <v>6161.56</v>
      </c>
    </row>
    <row r="497" spans="1:2" x14ac:dyDescent="0.25">
      <c r="A497" s="2">
        <v>46080</v>
      </c>
      <c r="B497">
        <v>6138.41</v>
      </c>
    </row>
    <row r="498" spans="1:2" x14ac:dyDescent="0.25">
      <c r="A498" s="2">
        <v>46083</v>
      </c>
      <c r="B498">
        <v>5986.93</v>
      </c>
    </row>
    <row r="499" spans="1:2" x14ac:dyDescent="0.25">
      <c r="A499" s="2">
        <v>46084</v>
      </c>
      <c r="B499">
        <v>5771.73</v>
      </c>
    </row>
    <row r="500" spans="1:2" x14ac:dyDescent="0.25">
      <c r="A500" s="2">
        <v>46085</v>
      </c>
      <c r="B500">
        <v>5870.92</v>
      </c>
    </row>
    <row r="501" spans="1:2" x14ac:dyDescent="0.25">
      <c r="A501" s="2">
        <v>46086</v>
      </c>
      <c r="B501">
        <v>5782.89</v>
      </c>
    </row>
    <row r="502" spans="1:2" x14ac:dyDescent="0.25">
      <c r="A502" s="2">
        <v>46087</v>
      </c>
      <c r="B502">
        <v>5719.9</v>
      </c>
    </row>
    <row r="503" spans="1:2" x14ac:dyDescent="0.25">
      <c r="A503" s="2">
        <v>46090</v>
      </c>
      <c r="B503">
        <v>5685.2</v>
      </c>
    </row>
    <row r="504" spans="1:2" x14ac:dyDescent="0.25">
      <c r="A504" s="2">
        <v>46091</v>
      </c>
      <c r="B504">
        <v>5837.17</v>
      </c>
    </row>
    <row r="505" spans="1:2" x14ac:dyDescent="0.25">
      <c r="A505" s="2">
        <v>46092</v>
      </c>
      <c r="B505">
        <v>5794.68</v>
      </c>
    </row>
    <row r="506" spans="1:2" x14ac:dyDescent="0.25">
      <c r="A506" s="2">
        <v>46093</v>
      </c>
      <c r="B506">
        <v>5748.89</v>
      </c>
    </row>
    <row r="507" spans="1:2" x14ac:dyDescent="0.25">
      <c r="A507" s="2">
        <v>46094</v>
      </c>
      <c r="B507">
        <v>5716.61</v>
      </c>
    </row>
    <row r="508" spans="1:2" x14ac:dyDescent="0.25">
      <c r="A508" s="2">
        <v>46097</v>
      </c>
      <c r="B508">
        <v>5739.01</v>
      </c>
    </row>
    <row r="509" spans="1:2" x14ac:dyDescent="0.25">
      <c r="A509" s="2">
        <v>46098</v>
      </c>
      <c r="B509">
        <v>5769.25</v>
      </c>
    </row>
    <row r="510" spans="1:2" x14ac:dyDescent="0.25">
      <c r="A510" s="2">
        <v>46099</v>
      </c>
      <c r="B510">
        <v>5736.85</v>
      </c>
    </row>
    <row r="511" spans="1:2" x14ac:dyDescent="0.25">
      <c r="A511" s="2">
        <v>46100</v>
      </c>
      <c r="B511">
        <v>5613.83</v>
      </c>
    </row>
    <row r="512" spans="1:2" x14ac:dyDescent="0.25">
      <c r="A512" s="2">
        <v>46101</v>
      </c>
      <c r="B512">
        <v>5501.28</v>
      </c>
    </row>
    <row r="513" spans="1:2" x14ac:dyDescent="0.25">
      <c r="A513" s="2">
        <v>46104</v>
      </c>
      <c r="B513">
        <v>5574.32</v>
      </c>
    </row>
    <row r="514" spans="1:2" x14ac:dyDescent="0.25">
      <c r="A514" s="2">
        <v>46105</v>
      </c>
      <c r="B514">
        <v>5581.29</v>
      </c>
    </row>
    <row r="515" spans="1:2" x14ac:dyDescent="0.25">
      <c r="A515" s="2">
        <v>46106</v>
      </c>
      <c r="B515">
        <v>5649.33</v>
      </c>
    </row>
    <row r="516" spans="1:2" x14ac:dyDescent="0.25">
      <c r="A516" s="2">
        <v>46107</v>
      </c>
      <c r="B516">
        <v>5565.93</v>
      </c>
    </row>
    <row r="517" spans="1:2" x14ac:dyDescent="0.25">
      <c r="A517" s="2">
        <v>46108</v>
      </c>
      <c r="B517">
        <v>5505.8</v>
      </c>
    </row>
    <row r="518" spans="1:2" x14ac:dyDescent="0.25">
      <c r="A518" s="2">
        <v>46111</v>
      </c>
      <c r="B518">
        <v>5520.34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2"/>
  <sheetViews>
    <sheetView workbookViewId="0">
      <selection activeCell="F13" sqref="F13"/>
    </sheetView>
  </sheetViews>
  <sheetFormatPr defaultRowHeight="15" x14ac:dyDescent="0.25"/>
  <cols>
    <col min="1" max="1" width="11.85546875" bestFit="1" customWidth="1"/>
    <col min="2" max="2" width="10.7109375" bestFit="1" customWidth="1"/>
  </cols>
  <sheetData>
    <row r="1" spans="1:2" x14ac:dyDescent="0.25">
      <c r="A1" t="s">
        <v>0</v>
      </c>
      <c r="B1" s="1">
        <v>45380</v>
      </c>
    </row>
    <row r="2" spans="1:2" x14ac:dyDescent="0.25">
      <c r="A2" t="s">
        <v>1</v>
      </c>
    </row>
    <row r="4" spans="1:2" x14ac:dyDescent="0.25">
      <c r="B4" t="s">
        <v>5</v>
      </c>
    </row>
    <row r="5" spans="1:2" x14ac:dyDescent="0.25">
      <c r="B5" t="str">
        <f>_xll.BFieldInfo(B$6)</f>
        <v>Last Price</v>
      </c>
    </row>
    <row r="6" spans="1:2" x14ac:dyDescent="0.25">
      <c r="A6" t="s">
        <v>3</v>
      </c>
      <c r="B6" t="s">
        <v>4</v>
      </c>
    </row>
    <row r="7" spans="1:2" x14ac:dyDescent="0.25">
      <c r="A7" s="2">
        <f>_xll.BDH(B$4,B$6,$B1,$B2,"Dir=V","Dts=S","cols=2;rows=506")</f>
        <v>45384</v>
      </c>
      <c r="B7">
        <v>15.1815</v>
      </c>
    </row>
    <row r="8" spans="1:2" x14ac:dyDescent="0.25">
      <c r="A8" s="2">
        <v>45385</v>
      </c>
      <c r="B8">
        <v>14.2498</v>
      </c>
    </row>
    <row r="9" spans="1:2" x14ac:dyDescent="0.25">
      <c r="A9" s="2">
        <v>45386</v>
      </c>
      <c r="B9">
        <v>13.6866</v>
      </c>
    </row>
    <row r="10" spans="1:2" x14ac:dyDescent="0.25">
      <c r="A10" s="2">
        <v>45387</v>
      </c>
      <c r="B10">
        <v>16.119900000000001</v>
      </c>
    </row>
    <row r="11" spans="1:2" x14ac:dyDescent="0.25">
      <c r="A11" s="2">
        <v>45390</v>
      </c>
      <c r="B11">
        <v>15.523099999999999</v>
      </c>
    </row>
    <row r="12" spans="1:2" x14ac:dyDescent="0.25">
      <c r="A12" s="2">
        <v>45391</v>
      </c>
      <c r="B12">
        <v>16.301300000000001</v>
      </c>
    </row>
    <row r="13" spans="1:2" x14ac:dyDescent="0.25">
      <c r="A13" s="2">
        <v>45392</v>
      </c>
      <c r="B13">
        <v>15.905900000000001</v>
      </c>
    </row>
    <row r="14" spans="1:2" x14ac:dyDescent="0.25">
      <c r="A14" s="2">
        <v>45393</v>
      </c>
      <c r="B14">
        <v>16.7012</v>
      </c>
    </row>
    <row r="15" spans="1:2" x14ac:dyDescent="0.25">
      <c r="A15" s="2">
        <v>45394</v>
      </c>
      <c r="B15">
        <v>18.794799999999999</v>
      </c>
    </row>
    <row r="16" spans="1:2" x14ac:dyDescent="0.25">
      <c r="A16" s="2">
        <v>45397</v>
      </c>
      <c r="B16">
        <v>18.5184</v>
      </c>
    </row>
    <row r="17" spans="1:2" x14ac:dyDescent="0.25">
      <c r="A17" s="2">
        <v>45398</v>
      </c>
      <c r="B17">
        <v>19.625299999999999</v>
      </c>
    </row>
    <row r="18" spans="1:2" x14ac:dyDescent="0.25">
      <c r="A18" s="2">
        <v>45399</v>
      </c>
      <c r="B18">
        <v>18.471399999999999</v>
      </c>
    </row>
    <row r="19" spans="1:2" x14ac:dyDescent="0.25">
      <c r="A19" s="2">
        <v>45400</v>
      </c>
      <c r="B19">
        <v>17.516100000000002</v>
      </c>
    </row>
    <row r="20" spans="1:2" x14ac:dyDescent="0.25">
      <c r="A20" s="2">
        <v>45401</v>
      </c>
      <c r="B20">
        <v>18.188500000000001</v>
      </c>
    </row>
    <row r="21" spans="1:2" x14ac:dyDescent="0.25">
      <c r="A21" s="2">
        <v>45404</v>
      </c>
      <c r="B21">
        <v>17.1142</v>
      </c>
    </row>
    <row r="22" spans="1:2" x14ac:dyDescent="0.25">
      <c r="A22" s="2">
        <v>45405</v>
      </c>
      <c r="B22">
        <v>15.7948</v>
      </c>
    </row>
    <row r="23" spans="1:2" x14ac:dyDescent="0.25">
      <c r="A23" s="2">
        <v>45406</v>
      </c>
      <c r="B23">
        <v>15.617599999999999</v>
      </c>
    </row>
    <row r="24" spans="1:2" x14ac:dyDescent="0.25">
      <c r="A24" s="2">
        <v>45407</v>
      </c>
      <c r="B24">
        <v>16.357800000000001</v>
      </c>
    </row>
    <row r="25" spans="1:2" x14ac:dyDescent="0.25">
      <c r="A25" s="2">
        <v>45408</v>
      </c>
      <c r="B25">
        <v>15.2644</v>
      </c>
    </row>
    <row r="26" spans="1:2" x14ac:dyDescent="0.25">
      <c r="A26" s="2">
        <v>45411</v>
      </c>
      <c r="B26">
        <v>15.107699999999999</v>
      </c>
    </row>
    <row r="27" spans="1:2" x14ac:dyDescent="0.25">
      <c r="A27" s="2">
        <v>45412</v>
      </c>
      <c r="B27">
        <v>15.565200000000001</v>
      </c>
    </row>
    <row r="28" spans="1:2" x14ac:dyDescent="0.25">
      <c r="A28" s="2">
        <v>45414</v>
      </c>
      <c r="B28">
        <v>15.4322</v>
      </c>
    </row>
    <row r="29" spans="1:2" x14ac:dyDescent="0.25">
      <c r="A29" s="2">
        <v>45415</v>
      </c>
      <c r="B29">
        <v>14.438800000000001</v>
      </c>
    </row>
    <row r="30" spans="1:2" x14ac:dyDescent="0.25">
      <c r="A30" s="2">
        <v>45418</v>
      </c>
      <c r="B30">
        <v>14.298999999999999</v>
      </c>
    </row>
    <row r="31" spans="1:2" x14ac:dyDescent="0.25">
      <c r="A31" s="2">
        <v>45419</v>
      </c>
      <c r="B31">
        <v>14.0852</v>
      </c>
    </row>
    <row r="32" spans="1:2" x14ac:dyDescent="0.25">
      <c r="A32" s="2">
        <v>45420</v>
      </c>
      <c r="B32">
        <v>13.721299999999999</v>
      </c>
    </row>
    <row r="33" spans="1:2" x14ac:dyDescent="0.25">
      <c r="A33" s="2">
        <v>45421</v>
      </c>
      <c r="B33">
        <v>13.4636</v>
      </c>
    </row>
    <row r="34" spans="1:2" x14ac:dyDescent="0.25">
      <c r="A34" s="2">
        <v>45422</v>
      </c>
      <c r="B34">
        <v>13.601800000000001</v>
      </c>
    </row>
    <row r="35" spans="1:2" x14ac:dyDescent="0.25">
      <c r="A35" s="2">
        <v>45425</v>
      </c>
      <c r="B35">
        <v>13.923999999999999</v>
      </c>
    </row>
    <row r="36" spans="1:2" x14ac:dyDescent="0.25">
      <c r="A36" s="2">
        <v>45426</v>
      </c>
      <c r="B36">
        <v>13.955399999999999</v>
      </c>
    </row>
    <row r="37" spans="1:2" x14ac:dyDescent="0.25">
      <c r="A37" s="2">
        <v>45427</v>
      </c>
      <c r="B37">
        <v>13.0905</v>
      </c>
    </row>
    <row r="38" spans="1:2" x14ac:dyDescent="0.25">
      <c r="A38" s="2">
        <v>45428</v>
      </c>
      <c r="B38">
        <v>12.7936</v>
      </c>
    </row>
    <row r="39" spans="1:2" x14ac:dyDescent="0.25">
      <c r="A39" s="2">
        <v>45429</v>
      </c>
      <c r="B39">
        <v>12.134600000000001</v>
      </c>
    </row>
    <row r="40" spans="1:2" x14ac:dyDescent="0.25">
      <c r="A40" s="2">
        <v>45432</v>
      </c>
      <c r="B40">
        <v>12.442</v>
      </c>
    </row>
    <row r="41" spans="1:2" x14ac:dyDescent="0.25">
      <c r="A41" s="2">
        <v>45433</v>
      </c>
      <c r="B41">
        <v>12.5421</v>
      </c>
    </row>
    <row r="42" spans="1:2" x14ac:dyDescent="0.25">
      <c r="A42" s="2">
        <v>45434</v>
      </c>
      <c r="B42">
        <v>12.7432</v>
      </c>
    </row>
    <row r="43" spans="1:2" x14ac:dyDescent="0.25">
      <c r="A43" s="2">
        <v>45435</v>
      </c>
      <c r="B43">
        <v>12.5152</v>
      </c>
    </row>
    <row r="44" spans="1:2" x14ac:dyDescent="0.25">
      <c r="A44" s="2">
        <v>45436</v>
      </c>
      <c r="B44">
        <v>12.609400000000001</v>
      </c>
    </row>
    <row r="45" spans="1:2" x14ac:dyDescent="0.25">
      <c r="A45" s="2">
        <v>45439</v>
      </c>
      <c r="B45">
        <v>12.884399999999999</v>
      </c>
    </row>
    <row r="46" spans="1:2" x14ac:dyDescent="0.25">
      <c r="A46" s="2">
        <v>45440</v>
      </c>
      <c r="B46">
        <v>13.3141</v>
      </c>
    </row>
    <row r="47" spans="1:2" x14ac:dyDescent="0.25">
      <c r="A47" s="2">
        <v>45441</v>
      </c>
      <c r="B47">
        <v>14.0762</v>
      </c>
    </row>
    <row r="48" spans="1:2" x14ac:dyDescent="0.25">
      <c r="A48" s="2">
        <v>45442</v>
      </c>
      <c r="B48">
        <v>13.980499999999999</v>
      </c>
    </row>
    <row r="49" spans="1:2" x14ac:dyDescent="0.25">
      <c r="A49" s="2">
        <v>45443</v>
      </c>
      <c r="B49">
        <v>14.138400000000001</v>
      </c>
    </row>
    <row r="50" spans="1:2" x14ac:dyDescent="0.25">
      <c r="A50" s="2">
        <v>45446</v>
      </c>
      <c r="B50">
        <v>14.0593</v>
      </c>
    </row>
    <row r="51" spans="1:2" x14ac:dyDescent="0.25">
      <c r="A51" s="2">
        <v>45447</v>
      </c>
      <c r="B51">
        <v>14.741899999999999</v>
      </c>
    </row>
    <row r="52" spans="1:2" x14ac:dyDescent="0.25">
      <c r="A52" s="2">
        <v>45448</v>
      </c>
      <c r="B52">
        <v>13.933400000000001</v>
      </c>
    </row>
    <row r="53" spans="1:2" x14ac:dyDescent="0.25">
      <c r="A53" s="2">
        <v>45449</v>
      </c>
      <c r="B53">
        <v>13.338800000000001</v>
      </c>
    </row>
    <row r="54" spans="1:2" x14ac:dyDescent="0.25">
      <c r="A54" s="2">
        <v>45450</v>
      </c>
      <c r="B54">
        <v>13.286099999999999</v>
      </c>
    </row>
    <row r="55" spans="1:2" x14ac:dyDescent="0.25">
      <c r="A55" s="2">
        <v>45453</v>
      </c>
      <c r="B55">
        <v>14.507400000000001</v>
      </c>
    </row>
    <row r="56" spans="1:2" x14ac:dyDescent="0.25">
      <c r="A56" s="2">
        <v>45454</v>
      </c>
      <c r="B56">
        <v>15.7607</v>
      </c>
    </row>
    <row r="57" spans="1:2" x14ac:dyDescent="0.25">
      <c r="A57" s="2">
        <v>45455</v>
      </c>
      <c r="B57">
        <v>14.7719</v>
      </c>
    </row>
    <row r="58" spans="1:2" x14ac:dyDescent="0.25">
      <c r="A58" s="2">
        <v>45456</v>
      </c>
      <c r="B58">
        <v>16.751000000000001</v>
      </c>
    </row>
    <row r="59" spans="1:2" x14ac:dyDescent="0.25">
      <c r="A59" s="2">
        <v>45457</v>
      </c>
      <c r="B59">
        <v>19.8691</v>
      </c>
    </row>
    <row r="60" spans="1:2" x14ac:dyDescent="0.25">
      <c r="A60" s="2">
        <v>45460</v>
      </c>
      <c r="B60">
        <v>19.910699999999999</v>
      </c>
    </row>
    <row r="61" spans="1:2" x14ac:dyDescent="0.25">
      <c r="A61" s="2">
        <v>45461</v>
      </c>
      <c r="B61">
        <v>18.603999999999999</v>
      </c>
    </row>
    <row r="62" spans="1:2" x14ac:dyDescent="0.25">
      <c r="A62" s="2">
        <v>45462</v>
      </c>
      <c r="B62">
        <v>18.520900000000001</v>
      </c>
    </row>
    <row r="63" spans="1:2" x14ac:dyDescent="0.25">
      <c r="A63" s="2">
        <v>45463</v>
      </c>
      <c r="B63">
        <v>17.7544</v>
      </c>
    </row>
    <row r="64" spans="1:2" x14ac:dyDescent="0.25">
      <c r="A64" s="2">
        <v>45464</v>
      </c>
      <c r="B64">
        <v>17.604500000000002</v>
      </c>
    </row>
    <row r="65" spans="1:2" x14ac:dyDescent="0.25">
      <c r="A65" s="2">
        <v>45467</v>
      </c>
      <c r="B65">
        <v>17.384599999999999</v>
      </c>
    </row>
    <row r="66" spans="1:2" x14ac:dyDescent="0.25">
      <c r="A66" s="2">
        <v>45468</v>
      </c>
      <c r="B66">
        <v>18.039899999999999</v>
      </c>
    </row>
    <row r="67" spans="1:2" x14ac:dyDescent="0.25">
      <c r="A67" s="2">
        <v>45469</v>
      </c>
      <c r="B67">
        <v>18.98</v>
      </c>
    </row>
    <row r="68" spans="1:2" x14ac:dyDescent="0.25">
      <c r="A68" s="2">
        <v>45470</v>
      </c>
      <c r="B68">
        <v>19.060199999999998</v>
      </c>
    </row>
    <row r="69" spans="1:2" x14ac:dyDescent="0.25">
      <c r="A69" s="2">
        <v>45471</v>
      </c>
      <c r="B69">
        <v>18.296900000000001</v>
      </c>
    </row>
    <row r="70" spans="1:2" x14ac:dyDescent="0.25">
      <c r="A70" s="2">
        <v>45474</v>
      </c>
      <c r="B70">
        <v>15.895200000000001</v>
      </c>
    </row>
    <row r="71" spans="1:2" x14ac:dyDescent="0.25">
      <c r="A71" s="2">
        <v>45475</v>
      </c>
      <c r="B71">
        <v>15.883100000000001</v>
      </c>
    </row>
    <row r="72" spans="1:2" x14ac:dyDescent="0.25">
      <c r="A72" s="2">
        <v>45476</v>
      </c>
      <c r="B72">
        <v>14.832100000000001</v>
      </c>
    </row>
    <row r="73" spans="1:2" x14ac:dyDescent="0.25">
      <c r="A73" s="2">
        <v>45477</v>
      </c>
      <c r="B73">
        <v>14.617699999999999</v>
      </c>
    </row>
    <row r="74" spans="1:2" x14ac:dyDescent="0.25">
      <c r="A74" s="2">
        <v>45478</v>
      </c>
      <c r="B74">
        <v>14.426500000000001</v>
      </c>
    </row>
    <row r="75" spans="1:2" x14ac:dyDescent="0.25">
      <c r="A75" s="2">
        <v>45481</v>
      </c>
      <c r="B75">
        <v>13.292400000000001</v>
      </c>
    </row>
    <row r="76" spans="1:2" x14ac:dyDescent="0.25">
      <c r="A76" s="2">
        <v>45482</v>
      </c>
      <c r="B76">
        <v>14.5967</v>
      </c>
    </row>
    <row r="77" spans="1:2" x14ac:dyDescent="0.25">
      <c r="A77" s="2">
        <v>45483</v>
      </c>
      <c r="B77">
        <v>13.8688</v>
      </c>
    </row>
    <row r="78" spans="1:2" x14ac:dyDescent="0.25">
      <c r="A78" s="2">
        <v>45484</v>
      </c>
      <c r="B78">
        <v>13.4169</v>
      </c>
    </row>
    <row r="79" spans="1:2" x14ac:dyDescent="0.25">
      <c r="A79" s="2">
        <v>45485</v>
      </c>
      <c r="B79">
        <v>13.0602</v>
      </c>
    </row>
    <row r="80" spans="1:2" x14ac:dyDescent="0.25">
      <c r="A80" s="2">
        <v>45488</v>
      </c>
      <c r="B80">
        <v>13.593299999999999</v>
      </c>
    </row>
    <row r="81" spans="1:2" x14ac:dyDescent="0.25">
      <c r="A81" s="2">
        <v>45489</v>
      </c>
      <c r="B81">
        <v>13.865</v>
      </c>
    </row>
    <row r="82" spans="1:2" x14ac:dyDescent="0.25">
      <c r="A82" s="2">
        <v>45490</v>
      </c>
      <c r="B82">
        <v>14.5472</v>
      </c>
    </row>
    <row r="83" spans="1:2" x14ac:dyDescent="0.25">
      <c r="A83" s="2">
        <v>45491</v>
      </c>
      <c r="B83">
        <v>15.733700000000001</v>
      </c>
    </row>
    <row r="84" spans="1:2" x14ac:dyDescent="0.25">
      <c r="A84" s="2">
        <v>45492</v>
      </c>
      <c r="B84">
        <v>16.521699999999999</v>
      </c>
    </row>
    <row r="85" spans="1:2" x14ac:dyDescent="0.25">
      <c r="A85" s="2">
        <v>45495</v>
      </c>
      <c r="B85">
        <v>15.6897</v>
      </c>
    </row>
    <row r="86" spans="1:2" x14ac:dyDescent="0.25">
      <c r="A86" s="2">
        <v>45496</v>
      </c>
      <c r="B86">
        <v>14.8035</v>
      </c>
    </row>
    <row r="87" spans="1:2" x14ac:dyDescent="0.25">
      <c r="A87" s="2">
        <v>45497</v>
      </c>
      <c r="B87">
        <v>16.062200000000001</v>
      </c>
    </row>
    <row r="88" spans="1:2" x14ac:dyDescent="0.25">
      <c r="A88" s="2">
        <v>45498</v>
      </c>
      <c r="B88">
        <v>16.93</v>
      </c>
    </row>
    <row r="89" spans="1:2" x14ac:dyDescent="0.25">
      <c r="A89" s="2">
        <v>45499</v>
      </c>
      <c r="B89">
        <v>16.145800000000001</v>
      </c>
    </row>
    <row r="90" spans="1:2" x14ac:dyDescent="0.25">
      <c r="A90" s="2">
        <v>45502</v>
      </c>
      <c r="B90">
        <v>16.8293</v>
      </c>
    </row>
    <row r="91" spans="1:2" x14ac:dyDescent="0.25">
      <c r="A91" s="2">
        <v>45503</v>
      </c>
      <c r="B91">
        <v>16.532900000000001</v>
      </c>
    </row>
    <row r="92" spans="1:2" x14ac:dyDescent="0.25">
      <c r="A92" s="2">
        <v>45504</v>
      </c>
      <c r="B92">
        <v>15.743399999999999</v>
      </c>
    </row>
    <row r="93" spans="1:2" x14ac:dyDescent="0.25">
      <c r="A93" s="2">
        <v>45505</v>
      </c>
      <c r="B93">
        <v>18.119399999999999</v>
      </c>
    </row>
    <row r="94" spans="1:2" x14ac:dyDescent="0.25">
      <c r="A94" s="2">
        <v>45506</v>
      </c>
      <c r="B94">
        <v>24.518999999999998</v>
      </c>
    </row>
    <row r="95" spans="1:2" x14ac:dyDescent="0.25">
      <c r="A95" s="2">
        <v>45509</v>
      </c>
      <c r="B95">
        <v>31.1676</v>
      </c>
    </row>
    <row r="96" spans="1:2" x14ac:dyDescent="0.25">
      <c r="A96" s="2">
        <v>45510</v>
      </c>
      <c r="B96">
        <v>25.067599999999999</v>
      </c>
    </row>
    <row r="97" spans="1:2" x14ac:dyDescent="0.25">
      <c r="A97" s="2">
        <v>45511</v>
      </c>
      <c r="B97">
        <v>20.7485</v>
      </c>
    </row>
    <row r="98" spans="1:2" x14ac:dyDescent="0.25">
      <c r="A98" s="2">
        <v>45512</v>
      </c>
      <c r="B98">
        <v>21.629899999999999</v>
      </c>
    </row>
    <row r="99" spans="1:2" x14ac:dyDescent="0.25">
      <c r="A99" s="2">
        <v>45513</v>
      </c>
      <c r="B99">
        <v>20.429500000000001</v>
      </c>
    </row>
    <row r="100" spans="1:2" x14ac:dyDescent="0.25">
      <c r="A100" s="2">
        <v>45516</v>
      </c>
      <c r="B100">
        <v>19.2927</v>
      </c>
    </row>
    <row r="101" spans="1:2" x14ac:dyDescent="0.25">
      <c r="A101" s="2">
        <v>45517</v>
      </c>
      <c r="B101">
        <v>18.343299999999999</v>
      </c>
    </row>
    <row r="102" spans="1:2" x14ac:dyDescent="0.25">
      <c r="A102" s="2">
        <v>45518</v>
      </c>
      <c r="B102">
        <v>16.763100000000001</v>
      </c>
    </row>
    <row r="103" spans="1:2" x14ac:dyDescent="0.25">
      <c r="A103" s="2">
        <v>45519</v>
      </c>
      <c r="B103">
        <v>15.309200000000001</v>
      </c>
    </row>
    <row r="104" spans="1:2" x14ac:dyDescent="0.25">
      <c r="A104" s="2">
        <v>45520</v>
      </c>
      <c r="B104">
        <v>14.5006</v>
      </c>
    </row>
    <row r="105" spans="1:2" x14ac:dyDescent="0.25">
      <c r="A105" s="2">
        <v>45523</v>
      </c>
      <c r="B105">
        <v>14.9168</v>
      </c>
    </row>
    <row r="106" spans="1:2" x14ac:dyDescent="0.25">
      <c r="A106" s="2">
        <v>45524</v>
      </c>
      <c r="B106">
        <v>15.46</v>
      </c>
    </row>
    <row r="107" spans="1:2" x14ac:dyDescent="0.25">
      <c r="A107" s="2">
        <v>45525</v>
      </c>
      <c r="B107">
        <v>15.475199999999999</v>
      </c>
    </row>
    <row r="108" spans="1:2" x14ac:dyDescent="0.25">
      <c r="A108" s="2">
        <v>45526</v>
      </c>
      <c r="B108">
        <v>16.0105</v>
      </c>
    </row>
    <row r="109" spans="1:2" x14ac:dyDescent="0.25">
      <c r="A109" s="2">
        <v>45527</v>
      </c>
      <c r="B109">
        <v>15.307</v>
      </c>
    </row>
    <row r="110" spans="1:2" x14ac:dyDescent="0.25">
      <c r="A110" s="2">
        <v>45530</v>
      </c>
      <c r="B110">
        <v>15.662699999999999</v>
      </c>
    </row>
    <row r="111" spans="1:2" x14ac:dyDescent="0.25">
      <c r="A111" s="2">
        <v>45531</v>
      </c>
      <c r="B111">
        <v>15.456799999999999</v>
      </c>
    </row>
    <row r="112" spans="1:2" x14ac:dyDescent="0.25">
      <c r="A112" s="2">
        <v>45532</v>
      </c>
      <c r="B112">
        <v>15.589600000000001</v>
      </c>
    </row>
    <row r="113" spans="1:2" x14ac:dyDescent="0.25">
      <c r="A113" s="2">
        <v>45533</v>
      </c>
      <c r="B113">
        <v>15.2338</v>
      </c>
    </row>
    <row r="114" spans="1:2" x14ac:dyDescent="0.25">
      <c r="A114" s="2">
        <v>45534</v>
      </c>
      <c r="B114">
        <v>15.269500000000001</v>
      </c>
    </row>
    <row r="115" spans="1:2" x14ac:dyDescent="0.25">
      <c r="A115" s="2">
        <v>45537</v>
      </c>
      <c r="B115">
        <v>15.4132</v>
      </c>
    </row>
    <row r="116" spans="1:2" x14ac:dyDescent="0.25">
      <c r="A116" s="2">
        <v>45538</v>
      </c>
      <c r="B116">
        <v>17.337399999999999</v>
      </c>
    </row>
    <row r="117" spans="1:2" x14ac:dyDescent="0.25">
      <c r="A117" s="2">
        <v>45539</v>
      </c>
      <c r="B117">
        <v>19.866499999999998</v>
      </c>
    </row>
    <row r="118" spans="1:2" x14ac:dyDescent="0.25">
      <c r="A118" s="2">
        <v>45540</v>
      </c>
      <c r="B118">
        <v>20.049700000000001</v>
      </c>
    </row>
    <row r="119" spans="1:2" x14ac:dyDescent="0.25">
      <c r="A119" s="2">
        <v>45541</v>
      </c>
      <c r="B119">
        <v>22.584900000000001</v>
      </c>
    </row>
    <row r="120" spans="1:2" x14ac:dyDescent="0.25">
      <c r="A120" s="2">
        <v>45544</v>
      </c>
      <c r="B120">
        <v>20.229399999999998</v>
      </c>
    </row>
    <row r="121" spans="1:2" x14ac:dyDescent="0.25">
      <c r="A121" s="2">
        <v>45545</v>
      </c>
      <c r="B121">
        <v>19.5428</v>
      </c>
    </row>
    <row r="122" spans="1:2" x14ac:dyDescent="0.25">
      <c r="A122" s="2">
        <v>45546</v>
      </c>
      <c r="B122">
        <v>19.598400000000002</v>
      </c>
    </row>
    <row r="123" spans="1:2" x14ac:dyDescent="0.25">
      <c r="A123" s="2">
        <v>45547</v>
      </c>
      <c r="B123">
        <v>17.533000000000001</v>
      </c>
    </row>
    <row r="124" spans="1:2" x14ac:dyDescent="0.25">
      <c r="A124" s="2">
        <v>45548</v>
      </c>
      <c r="B124">
        <v>16.052299999999999</v>
      </c>
    </row>
    <row r="125" spans="1:2" x14ac:dyDescent="0.25">
      <c r="A125" s="2">
        <v>45551</v>
      </c>
      <c r="B125">
        <v>17.115100000000002</v>
      </c>
    </row>
    <row r="126" spans="1:2" x14ac:dyDescent="0.25">
      <c r="A126" s="2">
        <v>45552</v>
      </c>
      <c r="B126">
        <v>16.5794</v>
      </c>
    </row>
    <row r="127" spans="1:2" x14ac:dyDescent="0.25">
      <c r="A127" s="2">
        <v>45553</v>
      </c>
      <c r="B127">
        <v>17.060199999999998</v>
      </c>
    </row>
    <row r="128" spans="1:2" x14ac:dyDescent="0.25">
      <c r="A128" s="2">
        <v>45554</v>
      </c>
      <c r="B128">
        <v>15.4193</v>
      </c>
    </row>
    <row r="129" spans="1:2" x14ac:dyDescent="0.25">
      <c r="A129" s="2">
        <v>45555</v>
      </c>
      <c r="B129">
        <v>16.1859</v>
      </c>
    </row>
    <row r="130" spans="1:2" x14ac:dyDescent="0.25">
      <c r="A130" s="2">
        <v>45558</v>
      </c>
      <c r="B130">
        <v>16.369299999999999</v>
      </c>
    </row>
    <row r="131" spans="1:2" x14ac:dyDescent="0.25">
      <c r="A131" s="2">
        <v>45559</v>
      </c>
      <c r="B131">
        <v>16.02</v>
      </c>
    </row>
    <row r="132" spans="1:2" x14ac:dyDescent="0.25">
      <c r="A132" s="2">
        <v>45560</v>
      </c>
      <c r="B132">
        <v>16.215499999999999</v>
      </c>
    </row>
    <row r="133" spans="1:2" x14ac:dyDescent="0.25">
      <c r="A133" s="2">
        <v>45561</v>
      </c>
      <c r="B133">
        <v>16.3795</v>
      </c>
    </row>
    <row r="134" spans="1:2" x14ac:dyDescent="0.25">
      <c r="A134" s="2">
        <v>45562</v>
      </c>
      <c r="B134">
        <v>15.953099999999999</v>
      </c>
    </row>
    <row r="135" spans="1:2" x14ac:dyDescent="0.25">
      <c r="A135" s="2">
        <v>45565</v>
      </c>
      <c r="B135">
        <v>18.064699999999998</v>
      </c>
    </row>
    <row r="136" spans="1:2" x14ac:dyDescent="0.25">
      <c r="A136" s="2">
        <v>45566</v>
      </c>
      <c r="B136">
        <v>21.103400000000001</v>
      </c>
    </row>
    <row r="137" spans="1:2" x14ac:dyDescent="0.25">
      <c r="A137" s="2">
        <v>45567</v>
      </c>
      <c r="B137">
        <v>19.889299999999999</v>
      </c>
    </row>
    <row r="138" spans="1:2" x14ac:dyDescent="0.25">
      <c r="A138" s="2">
        <v>45568</v>
      </c>
      <c r="B138">
        <v>21.2197</v>
      </c>
    </row>
    <row r="139" spans="1:2" x14ac:dyDescent="0.25">
      <c r="A139" s="2">
        <v>45569</v>
      </c>
      <c r="B139">
        <v>20.253699999999998</v>
      </c>
    </row>
    <row r="140" spans="1:2" x14ac:dyDescent="0.25">
      <c r="A140" s="2">
        <v>45572</v>
      </c>
      <c r="B140">
        <v>20.220199999999998</v>
      </c>
    </row>
    <row r="141" spans="1:2" x14ac:dyDescent="0.25">
      <c r="A141" s="2">
        <v>45573</v>
      </c>
      <c r="B141">
        <v>20.282499999999999</v>
      </c>
    </row>
    <row r="142" spans="1:2" x14ac:dyDescent="0.25">
      <c r="A142" s="2">
        <v>45574</v>
      </c>
      <c r="B142">
        <v>19.3657</v>
      </c>
    </row>
    <row r="143" spans="1:2" x14ac:dyDescent="0.25">
      <c r="A143" s="2">
        <v>45575</v>
      </c>
      <c r="B143">
        <v>19.189699999999998</v>
      </c>
    </row>
    <row r="144" spans="1:2" x14ac:dyDescent="0.25">
      <c r="A144" s="2">
        <v>45576</v>
      </c>
      <c r="B144">
        <v>18.4665</v>
      </c>
    </row>
    <row r="145" spans="1:2" x14ac:dyDescent="0.25">
      <c r="A145" s="2">
        <v>45579</v>
      </c>
      <c r="B145">
        <v>17.674700000000001</v>
      </c>
    </row>
    <row r="146" spans="1:2" x14ac:dyDescent="0.25">
      <c r="A146" s="2">
        <v>45580</v>
      </c>
      <c r="B146">
        <v>18.596399999999999</v>
      </c>
    </row>
    <row r="147" spans="1:2" x14ac:dyDescent="0.25">
      <c r="A147" s="2">
        <v>45581</v>
      </c>
      <c r="B147">
        <v>19.212800000000001</v>
      </c>
    </row>
    <row r="148" spans="1:2" x14ac:dyDescent="0.25">
      <c r="A148" s="2">
        <v>45582</v>
      </c>
      <c r="B148">
        <v>18.266400000000001</v>
      </c>
    </row>
    <row r="149" spans="1:2" x14ac:dyDescent="0.25">
      <c r="A149" s="2">
        <v>45583</v>
      </c>
      <c r="B149">
        <v>17.250900000000001</v>
      </c>
    </row>
    <row r="150" spans="1:2" x14ac:dyDescent="0.25">
      <c r="A150" s="2">
        <v>45586</v>
      </c>
      <c r="B150">
        <v>18.8489</v>
      </c>
    </row>
    <row r="151" spans="1:2" x14ac:dyDescent="0.25">
      <c r="A151" s="2">
        <v>45587</v>
      </c>
      <c r="B151">
        <v>18.616900000000001</v>
      </c>
    </row>
    <row r="152" spans="1:2" x14ac:dyDescent="0.25">
      <c r="A152" s="2">
        <v>45588</v>
      </c>
      <c r="B152">
        <v>18.9938</v>
      </c>
    </row>
    <row r="153" spans="1:2" x14ac:dyDescent="0.25">
      <c r="A153" s="2">
        <v>45589</v>
      </c>
      <c r="B153">
        <v>19.171800000000001</v>
      </c>
    </row>
    <row r="154" spans="1:2" x14ac:dyDescent="0.25">
      <c r="A154" s="2">
        <v>45590</v>
      </c>
      <c r="B154">
        <v>18.916499999999999</v>
      </c>
    </row>
    <row r="155" spans="1:2" x14ac:dyDescent="0.25">
      <c r="A155" s="2">
        <v>45593</v>
      </c>
      <c r="B155">
        <v>18.6585</v>
      </c>
    </row>
    <row r="156" spans="1:2" x14ac:dyDescent="0.25">
      <c r="A156" s="2">
        <v>45594</v>
      </c>
      <c r="B156">
        <v>18.994599999999998</v>
      </c>
    </row>
    <row r="157" spans="1:2" x14ac:dyDescent="0.25">
      <c r="A157" s="2">
        <v>45595</v>
      </c>
      <c r="B157">
        <v>19.9312</v>
      </c>
    </row>
    <row r="158" spans="1:2" x14ac:dyDescent="0.25">
      <c r="A158" s="2">
        <v>45596</v>
      </c>
      <c r="B158">
        <v>21.7302</v>
      </c>
    </row>
    <row r="159" spans="1:2" x14ac:dyDescent="0.25">
      <c r="A159" s="2">
        <v>45597</v>
      </c>
      <c r="B159">
        <v>21.094000000000001</v>
      </c>
    </row>
    <row r="160" spans="1:2" x14ac:dyDescent="0.25">
      <c r="A160" s="2">
        <v>45600</v>
      </c>
      <c r="B160">
        <v>20.958600000000001</v>
      </c>
    </row>
    <row r="161" spans="1:2" x14ac:dyDescent="0.25">
      <c r="A161" s="2">
        <v>45601</v>
      </c>
      <c r="B161">
        <v>19.848199999999999</v>
      </c>
    </row>
    <row r="162" spans="1:2" x14ac:dyDescent="0.25">
      <c r="A162" s="2">
        <v>45602</v>
      </c>
      <c r="B162">
        <v>18.486599999999999</v>
      </c>
    </row>
    <row r="163" spans="1:2" x14ac:dyDescent="0.25">
      <c r="A163" s="2">
        <v>45603</v>
      </c>
      <c r="B163">
        <v>16.738499999999998</v>
      </c>
    </row>
    <row r="164" spans="1:2" x14ac:dyDescent="0.25">
      <c r="A164" s="2">
        <v>45604</v>
      </c>
      <c r="B164">
        <v>16.776800000000001</v>
      </c>
    </row>
    <row r="165" spans="1:2" x14ac:dyDescent="0.25">
      <c r="A165" s="2">
        <v>45607</v>
      </c>
      <c r="B165">
        <v>16.7866</v>
      </c>
    </row>
    <row r="166" spans="1:2" x14ac:dyDescent="0.25">
      <c r="A166" s="2">
        <v>45608</v>
      </c>
      <c r="B166">
        <v>17.944199999999999</v>
      </c>
    </row>
    <row r="167" spans="1:2" x14ac:dyDescent="0.25">
      <c r="A167" s="2">
        <v>45609</v>
      </c>
      <c r="B167">
        <v>17.684100000000001</v>
      </c>
    </row>
    <row r="168" spans="1:2" x14ac:dyDescent="0.25">
      <c r="A168" s="2">
        <v>45610</v>
      </c>
      <c r="B168">
        <v>17.104800000000001</v>
      </c>
    </row>
    <row r="169" spans="1:2" x14ac:dyDescent="0.25">
      <c r="A169" s="2">
        <v>45611</v>
      </c>
      <c r="B169">
        <v>17.211600000000001</v>
      </c>
    </row>
    <row r="170" spans="1:2" x14ac:dyDescent="0.25">
      <c r="A170" s="2">
        <v>45614</v>
      </c>
      <c r="B170">
        <v>17.788799999999998</v>
      </c>
    </row>
    <row r="171" spans="1:2" x14ac:dyDescent="0.25">
      <c r="A171" s="2">
        <v>45615</v>
      </c>
      <c r="B171">
        <v>19.225100000000001</v>
      </c>
    </row>
    <row r="172" spans="1:2" x14ac:dyDescent="0.25">
      <c r="A172" s="2">
        <v>45616</v>
      </c>
      <c r="B172">
        <v>20.0581</v>
      </c>
    </row>
    <row r="173" spans="1:2" x14ac:dyDescent="0.25">
      <c r="A173" s="2">
        <v>45617</v>
      </c>
      <c r="B173">
        <v>18.952000000000002</v>
      </c>
    </row>
    <row r="174" spans="1:2" x14ac:dyDescent="0.25">
      <c r="A174" s="2">
        <v>45618</v>
      </c>
      <c r="B174">
        <v>17.968900000000001</v>
      </c>
    </row>
    <row r="175" spans="1:2" x14ac:dyDescent="0.25">
      <c r="A175" s="2">
        <v>45621</v>
      </c>
      <c r="B175">
        <v>17.206099999999999</v>
      </c>
    </row>
    <row r="176" spans="1:2" x14ac:dyDescent="0.25">
      <c r="A176" s="2">
        <v>45622</v>
      </c>
      <c r="B176">
        <v>17.7285</v>
      </c>
    </row>
    <row r="177" spans="1:2" x14ac:dyDescent="0.25">
      <c r="A177" s="2">
        <v>45623</v>
      </c>
      <c r="B177">
        <v>18.297999999999998</v>
      </c>
    </row>
    <row r="178" spans="1:2" x14ac:dyDescent="0.25">
      <c r="A178" s="2">
        <v>45624</v>
      </c>
      <c r="B178">
        <v>17.599599999999999</v>
      </c>
    </row>
    <row r="179" spans="1:2" x14ac:dyDescent="0.25">
      <c r="A179" s="2">
        <v>45625</v>
      </c>
      <c r="B179">
        <v>16.960699999999999</v>
      </c>
    </row>
    <row r="180" spans="1:2" x14ac:dyDescent="0.25">
      <c r="A180" s="2">
        <v>45628</v>
      </c>
      <c r="B180">
        <v>17.183199999999999</v>
      </c>
    </row>
    <row r="181" spans="1:2" x14ac:dyDescent="0.25">
      <c r="A181" s="2">
        <v>45629</v>
      </c>
      <c r="B181">
        <v>16.465699999999998</v>
      </c>
    </row>
    <row r="182" spans="1:2" x14ac:dyDescent="0.25">
      <c r="A182" s="2">
        <v>45630</v>
      </c>
      <c r="B182">
        <v>15.8362</v>
      </c>
    </row>
    <row r="183" spans="1:2" x14ac:dyDescent="0.25">
      <c r="A183" s="2">
        <v>45631</v>
      </c>
      <c r="B183">
        <v>15.006500000000001</v>
      </c>
    </row>
    <row r="184" spans="1:2" x14ac:dyDescent="0.25">
      <c r="A184" s="2">
        <v>45632</v>
      </c>
      <c r="B184">
        <v>14.480600000000001</v>
      </c>
    </row>
    <row r="185" spans="1:2" x14ac:dyDescent="0.25">
      <c r="A185" s="2">
        <v>45635</v>
      </c>
      <c r="B185">
        <v>14.6755</v>
      </c>
    </row>
    <row r="186" spans="1:2" x14ac:dyDescent="0.25">
      <c r="A186" s="2">
        <v>45636</v>
      </c>
      <c r="B186">
        <v>15.176500000000001</v>
      </c>
    </row>
    <row r="187" spans="1:2" x14ac:dyDescent="0.25">
      <c r="A187" s="2">
        <v>45637</v>
      </c>
      <c r="B187">
        <v>14.0708</v>
      </c>
    </row>
    <row r="188" spans="1:2" x14ac:dyDescent="0.25">
      <c r="A188" s="2">
        <v>45638</v>
      </c>
      <c r="B188">
        <v>13.8367</v>
      </c>
    </row>
    <row r="189" spans="1:2" x14ac:dyDescent="0.25">
      <c r="A189" s="2">
        <v>45639</v>
      </c>
      <c r="B189">
        <v>13.7514</v>
      </c>
    </row>
    <row r="190" spans="1:2" x14ac:dyDescent="0.25">
      <c r="A190" s="2">
        <v>45642</v>
      </c>
      <c r="B190">
        <v>14.423299999999999</v>
      </c>
    </row>
    <row r="191" spans="1:2" x14ac:dyDescent="0.25">
      <c r="A191" s="2">
        <v>45643</v>
      </c>
      <c r="B191">
        <v>14.574</v>
      </c>
    </row>
    <row r="192" spans="1:2" x14ac:dyDescent="0.25">
      <c r="A192" s="2">
        <v>45644</v>
      </c>
      <c r="B192">
        <v>14.5245</v>
      </c>
    </row>
    <row r="193" spans="1:2" x14ac:dyDescent="0.25">
      <c r="A193" s="2">
        <v>45645</v>
      </c>
      <c r="B193">
        <v>18.6281</v>
      </c>
    </row>
    <row r="194" spans="1:2" x14ac:dyDescent="0.25">
      <c r="A194" s="2">
        <v>45646</v>
      </c>
      <c r="B194">
        <v>16.840399999999999</v>
      </c>
    </row>
    <row r="195" spans="1:2" x14ac:dyDescent="0.25">
      <c r="A195" s="2">
        <v>45649</v>
      </c>
      <c r="B195">
        <v>17.192699999999999</v>
      </c>
    </row>
    <row r="196" spans="1:2" x14ac:dyDescent="0.25">
      <c r="A196" s="2">
        <v>45653</v>
      </c>
      <c r="B196">
        <v>16.270800000000001</v>
      </c>
    </row>
    <row r="197" spans="1:2" x14ac:dyDescent="0.25">
      <c r="A197" s="2">
        <v>45656</v>
      </c>
      <c r="B197">
        <v>17.003</v>
      </c>
    </row>
    <row r="198" spans="1:2" x14ac:dyDescent="0.25">
      <c r="A198" s="2">
        <v>45659</v>
      </c>
      <c r="B198">
        <v>17.1965</v>
      </c>
    </row>
    <row r="199" spans="1:2" x14ac:dyDescent="0.25">
      <c r="A199" s="2">
        <v>45660</v>
      </c>
      <c r="B199">
        <v>16.9253</v>
      </c>
    </row>
    <row r="200" spans="1:2" x14ac:dyDescent="0.25">
      <c r="A200" s="2">
        <v>45663</v>
      </c>
      <c r="B200">
        <v>16.433900000000001</v>
      </c>
    </row>
    <row r="201" spans="1:2" x14ac:dyDescent="0.25">
      <c r="A201" s="2">
        <v>45664</v>
      </c>
      <c r="B201">
        <v>16.309200000000001</v>
      </c>
    </row>
    <row r="202" spans="1:2" x14ac:dyDescent="0.25">
      <c r="A202" s="2">
        <v>45665</v>
      </c>
      <c r="B202">
        <v>17.110299999999999</v>
      </c>
    </row>
    <row r="203" spans="1:2" x14ac:dyDescent="0.25">
      <c r="A203" s="2">
        <v>45666</v>
      </c>
      <c r="B203">
        <v>16.970099999999999</v>
      </c>
    </row>
    <row r="204" spans="1:2" x14ac:dyDescent="0.25">
      <c r="A204" s="2">
        <v>45667</v>
      </c>
      <c r="B204">
        <v>18.206199999999999</v>
      </c>
    </row>
    <row r="205" spans="1:2" x14ac:dyDescent="0.25">
      <c r="A205" s="2">
        <v>45670</v>
      </c>
      <c r="B205">
        <v>18.8843</v>
      </c>
    </row>
    <row r="206" spans="1:2" x14ac:dyDescent="0.25">
      <c r="A206" s="2">
        <v>45671</v>
      </c>
      <c r="B206">
        <v>17.7041</v>
      </c>
    </row>
    <row r="207" spans="1:2" x14ac:dyDescent="0.25">
      <c r="A207" s="2">
        <v>45672</v>
      </c>
      <c r="B207">
        <v>16.103400000000001</v>
      </c>
    </row>
    <row r="208" spans="1:2" x14ac:dyDescent="0.25">
      <c r="A208" s="2">
        <v>45673</v>
      </c>
      <c r="B208">
        <v>15.5624</v>
      </c>
    </row>
    <row r="209" spans="1:2" x14ac:dyDescent="0.25">
      <c r="A209" s="2">
        <v>45674</v>
      </c>
      <c r="B209">
        <v>15.716100000000001</v>
      </c>
    </row>
    <row r="210" spans="1:2" x14ac:dyDescent="0.25">
      <c r="A210" s="2">
        <v>45677</v>
      </c>
      <c r="B210">
        <v>16.629100000000001</v>
      </c>
    </row>
    <row r="211" spans="1:2" x14ac:dyDescent="0.25">
      <c r="A211" s="2">
        <v>45678</v>
      </c>
      <c r="B211">
        <v>15.452</v>
      </c>
    </row>
    <row r="212" spans="1:2" x14ac:dyDescent="0.25">
      <c r="A212" s="2">
        <v>45679</v>
      </c>
      <c r="B212">
        <v>15.003</v>
      </c>
    </row>
    <row r="213" spans="1:2" x14ac:dyDescent="0.25">
      <c r="A213" s="2">
        <v>45680</v>
      </c>
      <c r="B213">
        <v>14.975099999999999</v>
      </c>
    </row>
    <row r="214" spans="1:2" x14ac:dyDescent="0.25">
      <c r="A214" s="2">
        <v>45681</v>
      </c>
      <c r="B214">
        <v>14.8591</v>
      </c>
    </row>
    <row r="215" spans="1:2" x14ac:dyDescent="0.25">
      <c r="A215" s="2">
        <v>45684</v>
      </c>
      <c r="B215">
        <v>16.762699999999999</v>
      </c>
    </row>
    <row r="216" spans="1:2" x14ac:dyDescent="0.25">
      <c r="A216" s="2">
        <v>45685</v>
      </c>
      <c r="B216">
        <v>16.165400000000002</v>
      </c>
    </row>
    <row r="217" spans="1:2" x14ac:dyDescent="0.25">
      <c r="A217" s="2">
        <v>45686</v>
      </c>
      <c r="B217">
        <v>15.7371</v>
      </c>
    </row>
    <row r="218" spans="1:2" x14ac:dyDescent="0.25">
      <c r="A218" s="2">
        <v>45687</v>
      </c>
      <c r="B218">
        <v>14.9092</v>
      </c>
    </row>
    <row r="219" spans="1:2" x14ac:dyDescent="0.25">
      <c r="A219" s="2">
        <v>45688</v>
      </c>
      <c r="B219">
        <v>15.3582</v>
      </c>
    </row>
    <row r="220" spans="1:2" x14ac:dyDescent="0.25">
      <c r="A220" s="2">
        <v>45691</v>
      </c>
      <c r="B220">
        <v>17.584700000000002</v>
      </c>
    </row>
    <row r="221" spans="1:2" x14ac:dyDescent="0.25">
      <c r="A221" s="2">
        <v>45692</v>
      </c>
      <c r="B221">
        <v>16.771999999999998</v>
      </c>
    </row>
    <row r="222" spans="1:2" x14ac:dyDescent="0.25">
      <c r="A222" s="2">
        <v>45693</v>
      </c>
      <c r="B222">
        <v>16.4786</v>
      </c>
    </row>
    <row r="223" spans="1:2" x14ac:dyDescent="0.25">
      <c r="A223" s="2">
        <v>45694</v>
      </c>
      <c r="B223">
        <v>15.9968</v>
      </c>
    </row>
    <row r="224" spans="1:2" x14ac:dyDescent="0.25">
      <c r="A224" s="2">
        <v>45695</v>
      </c>
      <c r="B224">
        <v>16.653300000000002</v>
      </c>
    </row>
    <row r="225" spans="1:2" x14ac:dyDescent="0.25">
      <c r="A225" s="2">
        <v>45698</v>
      </c>
      <c r="B225">
        <v>16.6204</v>
      </c>
    </row>
    <row r="226" spans="1:2" x14ac:dyDescent="0.25">
      <c r="A226" s="2">
        <v>45699</v>
      </c>
      <c r="B226">
        <v>16.2439</v>
      </c>
    </row>
    <row r="227" spans="1:2" x14ac:dyDescent="0.25">
      <c r="A227" s="2">
        <v>45700</v>
      </c>
      <c r="B227">
        <v>16.1661</v>
      </c>
    </row>
    <row r="228" spans="1:2" x14ac:dyDescent="0.25">
      <c r="A228" s="2">
        <v>45701</v>
      </c>
      <c r="B228">
        <v>16.517399999999999</v>
      </c>
    </row>
    <row r="229" spans="1:2" x14ac:dyDescent="0.25">
      <c r="A229" s="2">
        <v>45702</v>
      </c>
      <c r="B229">
        <v>15.8773</v>
      </c>
    </row>
    <row r="230" spans="1:2" x14ac:dyDescent="0.25">
      <c r="A230" s="2">
        <v>45705</v>
      </c>
      <c r="B230">
        <v>16.213899999999999</v>
      </c>
    </row>
    <row r="231" spans="1:2" x14ac:dyDescent="0.25">
      <c r="A231" s="2">
        <v>45706</v>
      </c>
      <c r="B231">
        <v>16.166799999999999</v>
      </c>
    </row>
    <row r="232" spans="1:2" x14ac:dyDescent="0.25">
      <c r="A232" s="2">
        <v>45707</v>
      </c>
      <c r="B232">
        <v>17.419899999999998</v>
      </c>
    </row>
    <row r="233" spans="1:2" x14ac:dyDescent="0.25">
      <c r="A233" s="2">
        <v>45708</v>
      </c>
      <c r="B233">
        <v>17.516400000000001</v>
      </c>
    </row>
    <row r="234" spans="1:2" x14ac:dyDescent="0.25">
      <c r="A234" s="2">
        <v>45709</v>
      </c>
      <c r="B234">
        <v>16.474900000000002</v>
      </c>
    </row>
    <row r="235" spans="1:2" x14ac:dyDescent="0.25">
      <c r="A235" s="2">
        <v>45712</v>
      </c>
      <c r="B235">
        <v>16.949000000000002</v>
      </c>
    </row>
    <row r="236" spans="1:2" x14ac:dyDescent="0.25">
      <c r="A236" s="2">
        <v>45713</v>
      </c>
      <c r="B236">
        <v>17.779399999999999</v>
      </c>
    </row>
    <row r="237" spans="1:2" x14ac:dyDescent="0.25">
      <c r="A237" s="2">
        <v>45714</v>
      </c>
      <c r="B237">
        <v>16.9863</v>
      </c>
    </row>
    <row r="238" spans="1:2" x14ac:dyDescent="0.25">
      <c r="A238" s="2">
        <v>45715</v>
      </c>
      <c r="B238">
        <v>18.025700000000001</v>
      </c>
    </row>
    <row r="239" spans="1:2" x14ac:dyDescent="0.25">
      <c r="A239" s="2">
        <v>45716</v>
      </c>
      <c r="B239">
        <v>18.6266</v>
      </c>
    </row>
    <row r="240" spans="1:2" x14ac:dyDescent="0.25">
      <c r="A240" s="2">
        <v>45719</v>
      </c>
      <c r="B240">
        <v>18.612500000000001</v>
      </c>
    </row>
    <row r="241" spans="1:2" x14ac:dyDescent="0.25">
      <c r="A241" s="2">
        <v>45720</v>
      </c>
      <c r="B241">
        <v>22.601500000000001</v>
      </c>
    </row>
    <row r="242" spans="1:2" x14ac:dyDescent="0.25">
      <c r="A242" s="2">
        <v>45721</v>
      </c>
      <c r="B242">
        <v>21.491599999999998</v>
      </c>
    </row>
    <row r="243" spans="1:2" x14ac:dyDescent="0.25">
      <c r="A243" s="2">
        <v>45722</v>
      </c>
      <c r="B243">
        <v>21.443200000000001</v>
      </c>
    </row>
    <row r="244" spans="1:2" x14ac:dyDescent="0.25">
      <c r="A244" s="2">
        <v>45723</v>
      </c>
      <c r="B244">
        <v>22.662299999999998</v>
      </c>
    </row>
    <row r="245" spans="1:2" x14ac:dyDescent="0.25">
      <c r="A245" s="2">
        <v>45726</v>
      </c>
      <c r="B245">
        <v>23.919599999999999</v>
      </c>
    </row>
    <row r="246" spans="1:2" x14ac:dyDescent="0.25">
      <c r="A246" s="2">
        <v>45727</v>
      </c>
      <c r="B246">
        <v>24.3017</v>
      </c>
    </row>
    <row r="247" spans="1:2" x14ac:dyDescent="0.25">
      <c r="A247" s="2">
        <v>45728</v>
      </c>
      <c r="B247">
        <v>21.818899999999999</v>
      </c>
    </row>
    <row r="248" spans="1:2" x14ac:dyDescent="0.25">
      <c r="A248" s="2">
        <v>45729</v>
      </c>
      <c r="B248">
        <v>21.830100000000002</v>
      </c>
    </row>
    <row r="249" spans="1:2" x14ac:dyDescent="0.25">
      <c r="A249" s="2">
        <v>45730</v>
      </c>
      <c r="B249">
        <v>20.214500000000001</v>
      </c>
    </row>
    <row r="250" spans="1:2" x14ac:dyDescent="0.25">
      <c r="A250" s="2">
        <v>45733</v>
      </c>
      <c r="B250">
        <v>19.114100000000001</v>
      </c>
    </row>
    <row r="251" spans="1:2" x14ac:dyDescent="0.25">
      <c r="A251" s="2">
        <v>45734</v>
      </c>
      <c r="B251">
        <v>18.970700000000001</v>
      </c>
    </row>
    <row r="252" spans="1:2" x14ac:dyDescent="0.25">
      <c r="A252" s="2">
        <v>45735</v>
      </c>
      <c r="B252">
        <v>18.606000000000002</v>
      </c>
    </row>
    <row r="253" spans="1:2" x14ac:dyDescent="0.25">
      <c r="A253" s="2">
        <v>45736</v>
      </c>
      <c r="B253">
        <v>19.004000000000001</v>
      </c>
    </row>
    <row r="254" spans="1:2" x14ac:dyDescent="0.25">
      <c r="A254" s="2">
        <v>45737</v>
      </c>
      <c r="B254">
        <v>19.691600000000001</v>
      </c>
    </row>
    <row r="255" spans="1:2" x14ac:dyDescent="0.25">
      <c r="A255" s="2">
        <v>45740</v>
      </c>
      <c r="B255">
        <v>18.6099</v>
      </c>
    </row>
    <row r="256" spans="1:2" x14ac:dyDescent="0.25">
      <c r="A256" s="2">
        <v>45741</v>
      </c>
      <c r="B256">
        <v>17.591100000000001</v>
      </c>
    </row>
    <row r="257" spans="1:2" x14ac:dyDescent="0.25">
      <c r="A257" s="2">
        <v>45742</v>
      </c>
      <c r="B257">
        <v>19.02</v>
      </c>
    </row>
    <row r="258" spans="1:2" x14ac:dyDescent="0.25">
      <c r="A258" s="2">
        <v>45743</v>
      </c>
      <c r="B258">
        <v>19.610600000000002</v>
      </c>
    </row>
    <row r="259" spans="1:2" x14ac:dyDescent="0.25">
      <c r="A259" s="2">
        <v>45744</v>
      </c>
      <c r="B259">
        <v>20.596599999999999</v>
      </c>
    </row>
    <row r="260" spans="1:2" x14ac:dyDescent="0.25">
      <c r="A260" s="2">
        <v>45747</v>
      </c>
      <c r="B260">
        <v>22.145199999999999</v>
      </c>
    </row>
    <row r="261" spans="1:2" x14ac:dyDescent="0.25">
      <c r="A261" s="2">
        <v>45748</v>
      </c>
      <c r="B261">
        <v>21.0883</v>
      </c>
    </row>
    <row r="262" spans="1:2" x14ac:dyDescent="0.25">
      <c r="A262" s="2">
        <v>45749</v>
      </c>
      <c r="B262">
        <v>21.316299999999998</v>
      </c>
    </row>
    <row r="263" spans="1:2" x14ac:dyDescent="0.25">
      <c r="A263" s="2">
        <v>45750</v>
      </c>
      <c r="B263">
        <v>25.539400000000001</v>
      </c>
    </row>
    <row r="264" spans="1:2" x14ac:dyDescent="0.25">
      <c r="A264" s="2">
        <v>45751</v>
      </c>
      <c r="B264">
        <v>34.2211</v>
      </c>
    </row>
    <row r="265" spans="1:2" x14ac:dyDescent="0.25">
      <c r="A265" s="2">
        <v>45754</v>
      </c>
      <c r="B265">
        <v>46.720599999999997</v>
      </c>
    </row>
    <row r="266" spans="1:2" x14ac:dyDescent="0.25">
      <c r="A266" s="2">
        <v>45755</v>
      </c>
      <c r="B266">
        <v>36.393700000000003</v>
      </c>
    </row>
    <row r="267" spans="1:2" x14ac:dyDescent="0.25">
      <c r="A267" s="2">
        <v>45756</v>
      </c>
      <c r="B267">
        <v>45.867600000000003</v>
      </c>
    </row>
    <row r="268" spans="1:2" x14ac:dyDescent="0.25">
      <c r="A268" s="2">
        <v>45757</v>
      </c>
      <c r="B268">
        <v>37.040399999999998</v>
      </c>
    </row>
    <row r="269" spans="1:2" x14ac:dyDescent="0.25">
      <c r="A269" s="2">
        <v>45758</v>
      </c>
      <c r="B269">
        <v>39.563099999999999</v>
      </c>
    </row>
    <row r="270" spans="1:2" x14ac:dyDescent="0.25">
      <c r="A270" s="2">
        <v>45761</v>
      </c>
      <c r="B270">
        <v>29.082599999999999</v>
      </c>
    </row>
    <row r="271" spans="1:2" x14ac:dyDescent="0.25">
      <c r="A271" s="2">
        <v>45762</v>
      </c>
      <c r="B271">
        <v>25.945799999999998</v>
      </c>
    </row>
    <row r="272" spans="1:2" x14ac:dyDescent="0.25">
      <c r="A272" s="2">
        <v>45763</v>
      </c>
      <c r="B272">
        <v>26.2958</v>
      </c>
    </row>
    <row r="273" spans="1:2" x14ac:dyDescent="0.25">
      <c r="A273" s="2">
        <v>45764</v>
      </c>
      <c r="B273">
        <v>26.1784</v>
      </c>
    </row>
    <row r="274" spans="1:2" x14ac:dyDescent="0.25">
      <c r="A274" s="2">
        <v>45769</v>
      </c>
      <c r="B274">
        <v>25.738299999999999</v>
      </c>
    </row>
    <row r="275" spans="1:2" x14ac:dyDescent="0.25">
      <c r="A275" s="2">
        <v>45770</v>
      </c>
      <c r="B275">
        <v>24.536799999999999</v>
      </c>
    </row>
    <row r="276" spans="1:2" x14ac:dyDescent="0.25">
      <c r="A276" s="2">
        <v>45771</v>
      </c>
      <c r="B276">
        <v>23.377600000000001</v>
      </c>
    </row>
    <row r="277" spans="1:2" x14ac:dyDescent="0.25">
      <c r="A277" s="2">
        <v>45772</v>
      </c>
      <c r="B277">
        <v>21.9681</v>
      </c>
    </row>
    <row r="278" spans="1:2" x14ac:dyDescent="0.25">
      <c r="A278" s="2">
        <v>45775</v>
      </c>
      <c r="B278">
        <v>22.362100000000002</v>
      </c>
    </row>
    <row r="279" spans="1:2" x14ac:dyDescent="0.25">
      <c r="A279" s="2">
        <v>45776</v>
      </c>
      <c r="B279">
        <v>21.604800000000001</v>
      </c>
    </row>
    <row r="280" spans="1:2" x14ac:dyDescent="0.25">
      <c r="A280" s="2">
        <v>45777</v>
      </c>
      <c r="B280">
        <v>22.471399999999999</v>
      </c>
    </row>
    <row r="281" spans="1:2" x14ac:dyDescent="0.25">
      <c r="A281" s="2">
        <v>45779</v>
      </c>
      <c r="B281">
        <v>20.5365</v>
      </c>
    </row>
    <row r="282" spans="1:2" x14ac:dyDescent="0.25">
      <c r="A282" s="2">
        <v>45782</v>
      </c>
      <c r="B282">
        <v>20.2803</v>
      </c>
    </row>
    <row r="283" spans="1:2" x14ac:dyDescent="0.25">
      <c r="A283" s="2">
        <v>45783</v>
      </c>
      <c r="B283">
        <v>20.787600000000001</v>
      </c>
    </row>
    <row r="284" spans="1:2" x14ac:dyDescent="0.25">
      <c r="A284" s="2">
        <v>45784</v>
      </c>
      <c r="B284">
        <v>21.662199999999999</v>
      </c>
    </row>
    <row r="285" spans="1:2" x14ac:dyDescent="0.25">
      <c r="A285" s="2">
        <v>45785</v>
      </c>
      <c r="B285">
        <v>20.421500000000002</v>
      </c>
    </row>
    <row r="286" spans="1:2" x14ac:dyDescent="0.25">
      <c r="A286" s="2">
        <v>45786</v>
      </c>
      <c r="B286">
        <v>20.518799999999999</v>
      </c>
    </row>
    <row r="287" spans="1:2" x14ac:dyDescent="0.25">
      <c r="A287" s="2">
        <v>45789</v>
      </c>
      <c r="B287">
        <v>18.1951</v>
      </c>
    </row>
    <row r="288" spans="1:2" x14ac:dyDescent="0.25">
      <c r="A288" s="2">
        <v>45790</v>
      </c>
      <c r="B288">
        <v>16.561800000000002</v>
      </c>
    </row>
    <row r="289" spans="1:2" x14ac:dyDescent="0.25">
      <c r="A289" s="2">
        <v>45791</v>
      </c>
      <c r="B289">
        <v>17.209199999999999</v>
      </c>
    </row>
    <row r="290" spans="1:2" x14ac:dyDescent="0.25">
      <c r="A290" s="2">
        <v>45792</v>
      </c>
      <c r="B290">
        <v>16.6144</v>
      </c>
    </row>
    <row r="291" spans="1:2" x14ac:dyDescent="0.25">
      <c r="A291" s="2">
        <v>45793</v>
      </c>
      <c r="B291">
        <v>16.36</v>
      </c>
    </row>
    <row r="292" spans="1:2" x14ac:dyDescent="0.25">
      <c r="A292" s="2">
        <v>45796</v>
      </c>
      <c r="B292">
        <v>16.8065</v>
      </c>
    </row>
    <row r="293" spans="1:2" x14ac:dyDescent="0.25">
      <c r="A293" s="2">
        <v>45797</v>
      </c>
      <c r="B293">
        <v>16.575500000000002</v>
      </c>
    </row>
    <row r="294" spans="1:2" x14ac:dyDescent="0.25">
      <c r="A294" s="2">
        <v>45798</v>
      </c>
      <c r="B294">
        <v>16.686900000000001</v>
      </c>
    </row>
    <row r="295" spans="1:2" x14ac:dyDescent="0.25">
      <c r="A295" s="2">
        <v>45799</v>
      </c>
      <c r="B295">
        <v>18.355699999999999</v>
      </c>
    </row>
    <row r="296" spans="1:2" x14ac:dyDescent="0.25">
      <c r="A296" s="2">
        <v>45800</v>
      </c>
      <c r="B296">
        <v>22.481999999999999</v>
      </c>
    </row>
    <row r="297" spans="1:2" x14ac:dyDescent="0.25">
      <c r="A297" s="2">
        <v>45803</v>
      </c>
      <c r="B297">
        <v>19.639500000000002</v>
      </c>
    </row>
    <row r="298" spans="1:2" x14ac:dyDescent="0.25">
      <c r="A298" s="2">
        <v>45804</v>
      </c>
      <c r="B298">
        <v>18.5701</v>
      </c>
    </row>
    <row r="299" spans="1:2" x14ac:dyDescent="0.25">
      <c r="A299" s="2">
        <v>45805</v>
      </c>
      <c r="B299">
        <v>19.313800000000001</v>
      </c>
    </row>
    <row r="300" spans="1:2" x14ac:dyDescent="0.25">
      <c r="A300" s="2">
        <v>45806</v>
      </c>
      <c r="B300">
        <v>19.0139</v>
      </c>
    </row>
    <row r="301" spans="1:2" x14ac:dyDescent="0.25">
      <c r="A301" s="2">
        <v>45807</v>
      </c>
      <c r="B301">
        <v>19.154900000000001</v>
      </c>
    </row>
    <row r="302" spans="1:2" x14ac:dyDescent="0.25">
      <c r="A302" s="2">
        <v>45810</v>
      </c>
      <c r="B302">
        <v>19.980899999999998</v>
      </c>
    </row>
    <row r="303" spans="1:2" x14ac:dyDescent="0.25">
      <c r="A303" s="2">
        <v>45811</v>
      </c>
      <c r="B303">
        <v>18.661000000000001</v>
      </c>
    </row>
    <row r="304" spans="1:2" x14ac:dyDescent="0.25">
      <c r="A304" s="2">
        <v>45812</v>
      </c>
      <c r="B304">
        <v>18.513300000000001</v>
      </c>
    </row>
    <row r="305" spans="1:2" x14ac:dyDescent="0.25">
      <c r="A305" s="2">
        <v>45813</v>
      </c>
      <c r="B305">
        <v>17.747599999999998</v>
      </c>
    </row>
    <row r="306" spans="1:2" x14ac:dyDescent="0.25">
      <c r="A306" s="2">
        <v>45814</v>
      </c>
      <c r="B306">
        <v>17.419699999999999</v>
      </c>
    </row>
    <row r="307" spans="1:2" x14ac:dyDescent="0.25">
      <c r="A307" s="2">
        <v>45817</v>
      </c>
      <c r="B307">
        <v>17.632400000000001</v>
      </c>
    </row>
    <row r="308" spans="1:2" x14ac:dyDescent="0.25">
      <c r="A308" s="2">
        <v>45818</v>
      </c>
      <c r="B308">
        <v>17.7408</v>
      </c>
    </row>
    <row r="309" spans="1:2" x14ac:dyDescent="0.25">
      <c r="A309" s="2">
        <v>45819</v>
      </c>
      <c r="B309">
        <v>17.2454</v>
      </c>
    </row>
    <row r="310" spans="1:2" x14ac:dyDescent="0.25">
      <c r="A310" s="2">
        <v>45820</v>
      </c>
      <c r="B310">
        <v>19.366299999999999</v>
      </c>
    </row>
    <row r="311" spans="1:2" x14ac:dyDescent="0.25">
      <c r="A311" s="2">
        <v>45821</v>
      </c>
      <c r="B311">
        <v>21.730699999999999</v>
      </c>
    </row>
    <row r="312" spans="1:2" x14ac:dyDescent="0.25">
      <c r="A312" s="2">
        <v>45824</v>
      </c>
      <c r="B312">
        <v>19.9802</v>
      </c>
    </row>
    <row r="313" spans="1:2" x14ac:dyDescent="0.25">
      <c r="A313" s="2">
        <v>45825</v>
      </c>
      <c r="B313">
        <v>22.099399999999999</v>
      </c>
    </row>
    <row r="314" spans="1:2" x14ac:dyDescent="0.25">
      <c r="A314" s="2">
        <v>45826</v>
      </c>
      <c r="B314">
        <v>22.398700000000002</v>
      </c>
    </row>
    <row r="315" spans="1:2" x14ac:dyDescent="0.25">
      <c r="A315" s="2">
        <v>45827</v>
      </c>
      <c r="B315">
        <v>24.949000000000002</v>
      </c>
    </row>
    <row r="316" spans="1:2" x14ac:dyDescent="0.25">
      <c r="A316" s="2">
        <v>45828</v>
      </c>
      <c r="B316">
        <v>22.476099999999999</v>
      </c>
    </row>
    <row r="317" spans="1:2" x14ac:dyDescent="0.25">
      <c r="A317" s="2">
        <v>45831</v>
      </c>
      <c r="B317">
        <v>22.445499999999999</v>
      </c>
    </row>
    <row r="318" spans="1:2" x14ac:dyDescent="0.25">
      <c r="A318" s="2">
        <v>45832</v>
      </c>
      <c r="B318">
        <v>18.845800000000001</v>
      </c>
    </row>
    <row r="319" spans="1:2" x14ac:dyDescent="0.25">
      <c r="A319" s="2">
        <v>45833</v>
      </c>
      <c r="B319">
        <v>18.997499999999999</v>
      </c>
    </row>
    <row r="320" spans="1:2" x14ac:dyDescent="0.25">
      <c r="A320" s="2">
        <v>45834</v>
      </c>
      <c r="B320">
        <v>18.4985</v>
      </c>
    </row>
    <row r="321" spans="1:2" x14ac:dyDescent="0.25">
      <c r="A321" s="2">
        <v>45835</v>
      </c>
      <c r="B321">
        <v>17.403700000000001</v>
      </c>
    </row>
    <row r="322" spans="1:2" x14ac:dyDescent="0.25">
      <c r="A322" s="2">
        <v>45838</v>
      </c>
      <c r="B322">
        <v>17.668600000000001</v>
      </c>
    </row>
    <row r="323" spans="1:2" x14ac:dyDescent="0.25">
      <c r="A323" s="2">
        <v>45839</v>
      </c>
      <c r="B323">
        <v>17.6662</v>
      </c>
    </row>
    <row r="324" spans="1:2" x14ac:dyDescent="0.25">
      <c r="A324" s="2">
        <v>45840</v>
      </c>
      <c r="B324">
        <v>17.7453</v>
      </c>
    </row>
    <row r="325" spans="1:2" x14ac:dyDescent="0.25">
      <c r="A325" s="2">
        <v>45841</v>
      </c>
      <c r="B325">
        <v>17.231999999999999</v>
      </c>
    </row>
    <row r="326" spans="1:2" x14ac:dyDescent="0.25">
      <c r="A326" s="2">
        <v>45842</v>
      </c>
      <c r="B326">
        <v>19.0519</v>
      </c>
    </row>
    <row r="327" spans="1:2" x14ac:dyDescent="0.25">
      <c r="A327" s="2">
        <v>45845</v>
      </c>
      <c r="B327">
        <v>18.476099999999999</v>
      </c>
    </row>
    <row r="328" spans="1:2" x14ac:dyDescent="0.25">
      <c r="A328" s="2">
        <v>45846</v>
      </c>
      <c r="B328">
        <v>17.404199999999999</v>
      </c>
    </row>
    <row r="329" spans="1:2" x14ac:dyDescent="0.25">
      <c r="A329" s="2">
        <v>45847</v>
      </c>
      <c r="B329">
        <v>16.6112</v>
      </c>
    </row>
    <row r="330" spans="1:2" x14ac:dyDescent="0.25">
      <c r="A330" s="2">
        <v>45848</v>
      </c>
      <c r="B330">
        <v>15.992100000000001</v>
      </c>
    </row>
    <row r="331" spans="1:2" x14ac:dyDescent="0.25">
      <c r="A331" s="2">
        <v>45849</v>
      </c>
      <c r="B331">
        <v>17.111999999999998</v>
      </c>
    </row>
    <row r="332" spans="1:2" x14ac:dyDescent="0.25">
      <c r="A332" s="2">
        <v>45852</v>
      </c>
      <c r="B332">
        <v>17.739100000000001</v>
      </c>
    </row>
    <row r="333" spans="1:2" x14ac:dyDescent="0.25">
      <c r="A333" s="2">
        <v>45853</v>
      </c>
      <c r="B333">
        <v>17.745000000000001</v>
      </c>
    </row>
    <row r="334" spans="1:2" x14ac:dyDescent="0.25">
      <c r="A334" s="2">
        <v>45854</v>
      </c>
      <c r="B334">
        <v>19.040900000000001</v>
      </c>
    </row>
    <row r="335" spans="1:2" x14ac:dyDescent="0.25">
      <c r="A335" s="2">
        <v>45855</v>
      </c>
      <c r="B335">
        <v>17.418600000000001</v>
      </c>
    </row>
    <row r="336" spans="1:2" x14ac:dyDescent="0.25">
      <c r="A336" s="2">
        <v>45856</v>
      </c>
      <c r="B336">
        <v>17.6953</v>
      </c>
    </row>
    <row r="337" spans="1:2" x14ac:dyDescent="0.25">
      <c r="A337" s="2">
        <v>45859</v>
      </c>
      <c r="B337">
        <v>17.607099999999999</v>
      </c>
    </row>
    <row r="338" spans="1:2" x14ac:dyDescent="0.25">
      <c r="A338" s="2">
        <v>45860</v>
      </c>
      <c r="B338">
        <v>18.8583</v>
      </c>
    </row>
    <row r="339" spans="1:2" x14ac:dyDescent="0.25">
      <c r="A339" s="2">
        <v>45861</v>
      </c>
      <c r="B339">
        <v>18.421700000000001</v>
      </c>
    </row>
    <row r="340" spans="1:2" x14ac:dyDescent="0.25">
      <c r="A340" s="2">
        <v>45862</v>
      </c>
      <c r="B340">
        <v>17.7226</v>
      </c>
    </row>
    <row r="341" spans="1:2" x14ac:dyDescent="0.25">
      <c r="A341" s="2">
        <v>45863</v>
      </c>
      <c r="B341">
        <v>17.799900000000001</v>
      </c>
    </row>
    <row r="342" spans="1:2" x14ac:dyDescent="0.25">
      <c r="A342" s="2">
        <v>45866</v>
      </c>
      <c r="B342">
        <v>17.226299999999998</v>
      </c>
    </row>
    <row r="343" spans="1:2" x14ac:dyDescent="0.25">
      <c r="A343" s="2">
        <v>45867</v>
      </c>
      <c r="B343">
        <v>16.662299999999998</v>
      </c>
    </row>
    <row r="344" spans="1:2" x14ac:dyDescent="0.25">
      <c r="A344" s="2">
        <v>45868</v>
      </c>
      <c r="B344">
        <v>16.4878</v>
      </c>
    </row>
    <row r="345" spans="1:2" x14ac:dyDescent="0.25">
      <c r="A345" s="2">
        <v>45869</v>
      </c>
      <c r="B345">
        <v>17.5426</v>
      </c>
    </row>
    <row r="346" spans="1:2" x14ac:dyDescent="0.25">
      <c r="A346" s="2">
        <v>45870</v>
      </c>
      <c r="B346">
        <v>21.794799999999999</v>
      </c>
    </row>
    <row r="347" spans="1:2" x14ac:dyDescent="0.25">
      <c r="A347" s="2">
        <v>45873</v>
      </c>
      <c r="B347">
        <v>19.673999999999999</v>
      </c>
    </row>
    <row r="348" spans="1:2" x14ac:dyDescent="0.25">
      <c r="A348" s="2">
        <v>45874</v>
      </c>
      <c r="B348">
        <v>18.828299999999999</v>
      </c>
    </row>
    <row r="349" spans="1:2" x14ac:dyDescent="0.25">
      <c r="A349" s="2">
        <v>45875</v>
      </c>
      <c r="B349">
        <v>18.391200000000001</v>
      </c>
    </row>
    <row r="350" spans="1:2" x14ac:dyDescent="0.25">
      <c r="A350" s="2">
        <v>45876</v>
      </c>
      <c r="B350">
        <v>18.079699999999999</v>
      </c>
    </row>
    <row r="351" spans="1:2" x14ac:dyDescent="0.25">
      <c r="A351" s="2">
        <v>45877</v>
      </c>
      <c r="B351">
        <v>17.395199999999999</v>
      </c>
    </row>
    <row r="352" spans="1:2" x14ac:dyDescent="0.25">
      <c r="A352" s="2">
        <v>45880</v>
      </c>
      <c r="B352">
        <v>17.759399999999999</v>
      </c>
    </row>
    <row r="353" spans="1:2" x14ac:dyDescent="0.25">
      <c r="A353" s="2">
        <v>45881</v>
      </c>
      <c r="B353">
        <v>16.6707</v>
      </c>
    </row>
    <row r="354" spans="1:2" x14ac:dyDescent="0.25">
      <c r="A354" s="2">
        <v>45882</v>
      </c>
      <c r="B354">
        <v>16.1568</v>
      </c>
    </row>
    <row r="355" spans="1:2" x14ac:dyDescent="0.25">
      <c r="A355" s="2">
        <v>45883</v>
      </c>
      <c r="B355">
        <v>15.9899</v>
      </c>
    </row>
    <row r="356" spans="1:2" x14ac:dyDescent="0.25">
      <c r="A356" s="2">
        <v>45884</v>
      </c>
      <c r="B356">
        <v>15.837199999999999</v>
      </c>
    </row>
    <row r="357" spans="1:2" x14ac:dyDescent="0.25">
      <c r="A357" s="2">
        <v>45887</v>
      </c>
      <c r="B357">
        <v>16.395499999999998</v>
      </c>
    </row>
    <row r="358" spans="1:2" x14ac:dyDescent="0.25">
      <c r="A358" s="2">
        <v>45888</v>
      </c>
      <c r="B358">
        <v>15.7601</v>
      </c>
    </row>
    <row r="359" spans="1:2" x14ac:dyDescent="0.25">
      <c r="A359" s="2">
        <v>45889</v>
      </c>
      <c r="B359">
        <v>16.592199999999998</v>
      </c>
    </row>
    <row r="360" spans="1:2" x14ac:dyDescent="0.25">
      <c r="A360" s="2">
        <v>45890</v>
      </c>
      <c r="B360">
        <v>16.732900000000001</v>
      </c>
    </row>
    <row r="361" spans="1:2" x14ac:dyDescent="0.25">
      <c r="A361" s="2">
        <v>45891</v>
      </c>
      <c r="B361">
        <v>15.0619</v>
      </c>
    </row>
    <row r="362" spans="1:2" x14ac:dyDescent="0.25">
      <c r="A362" s="2">
        <v>45894</v>
      </c>
      <c r="B362">
        <v>16.8794</v>
      </c>
    </row>
    <row r="363" spans="1:2" x14ac:dyDescent="0.25">
      <c r="A363" s="2">
        <v>45895</v>
      </c>
      <c r="B363">
        <v>18.000599999999999</v>
      </c>
    </row>
    <row r="364" spans="1:2" x14ac:dyDescent="0.25">
      <c r="A364" s="2">
        <v>45896</v>
      </c>
      <c r="B364">
        <v>17.838200000000001</v>
      </c>
    </row>
    <row r="365" spans="1:2" x14ac:dyDescent="0.25">
      <c r="A365" s="2">
        <v>45897</v>
      </c>
      <c r="B365">
        <v>17.103200000000001</v>
      </c>
    </row>
    <row r="366" spans="1:2" x14ac:dyDescent="0.25">
      <c r="A366" s="2">
        <v>45898</v>
      </c>
      <c r="B366">
        <v>17.564599999999999</v>
      </c>
    </row>
    <row r="367" spans="1:2" x14ac:dyDescent="0.25">
      <c r="A367" s="2">
        <v>45901</v>
      </c>
      <c r="B367">
        <v>17.649100000000001</v>
      </c>
    </row>
    <row r="368" spans="1:2" x14ac:dyDescent="0.25">
      <c r="A368" s="2">
        <v>45902</v>
      </c>
      <c r="B368">
        <v>19.720099999999999</v>
      </c>
    </row>
    <row r="369" spans="1:2" x14ac:dyDescent="0.25">
      <c r="A369" s="2">
        <v>45903</v>
      </c>
      <c r="B369">
        <v>18.410900000000002</v>
      </c>
    </row>
    <row r="370" spans="1:2" x14ac:dyDescent="0.25">
      <c r="A370" s="2">
        <v>45904</v>
      </c>
      <c r="B370">
        <v>17.426100000000002</v>
      </c>
    </row>
    <row r="371" spans="1:2" x14ac:dyDescent="0.25">
      <c r="A371" s="2">
        <v>45905</v>
      </c>
      <c r="B371">
        <v>17.6769</v>
      </c>
    </row>
    <row r="372" spans="1:2" x14ac:dyDescent="0.25">
      <c r="A372" s="2">
        <v>45908</v>
      </c>
      <c r="B372">
        <v>16.877199999999998</v>
      </c>
    </row>
    <row r="373" spans="1:2" x14ac:dyDescent="0.25">
      <c r="A373" s="2">
        <v>45909</v>
      </c>
      <c r="B373">
        <v>16.728400000000001</v>
      </c>
    </row>
    <row r="374" spans="1:2" x14ac:dyDescent="0.25">
      <c r="A374" s="2">
        <v>45910</v>
      </c>
      <c r="B374">
        <v>16.828299999999999</v>
      </c>
    </row>
    <row r="375" spans="1:2" x14ac:dyDescent="0.25">
      <c r="A375" s="2">
        <v>45911</v>
      </c>
      <c r="B375">
        <v>15.819800000000001</v>
      </c>
    </row>
    <row r="376" spans="1:2" x14ac:dyDescent="0.25">
      <c r="A376" s="2">
        <v>45912</v>
      </c>
      <c r="B376">
        <v>15.3874</v>
      </c>
    </row>
    <row r="377" spans="1:2" x14ac:dyDescent="0.25">
      <c r="A377" s="2">
        <v>45915</v>
      </c>
      <c r="B377">
        <v>15.4924</v>
      </c>
    </row>
    <row r="378" spans="1:2" x14ac:dyDescent="0.25">
      <c r="A378" s="2">
        <v>45916</v>
      </c>
      <c r="B378">
        <v>16.7746</v>
      </c>
    </row>
    <row r="379" spans="1:2" x14ac:dyDescent="0.25">
      <c r="A379" s="2">
        <v>45917</v>
      </c>
      <c r="B379">
        <v>16.8035</v>
      </c>
    </row>
    <row r="380" spans="1:2" x14ac:dyDescent="0.25">
      <c r="A380" s="2">
        <v>45918</v>
      </c>
      <c r="B380">
        <v>15.4147</v>
      </c>
    </row>
    <row r="381" spans="1:2" x14ac:dyDescent="0.25">
      <c r="A381" s="2">
        <v>45919</v>
      </c>
      <c r="B381">
        <v>15.657500000000001</v>
      </c>
    </row>
    <row r="382" spans="1:2" x14ac:dyDescent="0.25">
      <c r="A382" s="2">
        <v>45922</v>
      </c>
      <c r="B382">
        <v>16.785499999999999</v>
      </c>
    </row>
    <row r="383" spans="1:2" x14ac:dyDescent="0.25">
      <c r="A383" s="2">
        <v>45923</v>
      </c>
      <c r="B383">
        <v>16.577400000000001</v>
      </c>
    </row>
    <row r="384" spans="1:2" x14ac:dyDescent="0.25">
      <c r="A384" s="2">
        <v>45924</v>
      </c>
      <c r="B384">
        <v>16.790400000000002</v>
      </c>
    </row>
    <row r="385" spans="1:2" x14ac:dyDescent="0.25">
      <c r="A385" s="2">
        <v>45925</v>
      </c>
      <c r="B385">
        <v>17.3201</v>
      </c>
    </row>
    <row r="386" spans="1:2" x14ac:dyDescent="0.25">
      <c r="A386" s="2">
        <v>45926</v>
      </c>
      <c r="B386">
        <v>16.7089</v>
      </c>
    </row>
    <row r="387" spans="1:2" x14ac:dyDescent="0.25">
      <c r="A387" s="2">
        <v>45929</v>
      </c>
      <c r="B387">
        <v>16.474699999999999</v>
      </c>
    </row>
    <row r="388" spans="1:2" x14ac:dyDescent="0.25">
      <c r="A388" s="2">
        <v>45930</v>
      </c>
      <c r="B388">
        <v>16.680800000000001</v>
      </c>
    </row>
    <row r="389" spans="1:2" x14ac:dyDescent="0.25">
      <c r="A389" s="2">
        <v>45931</v>
      </c>
      <c r="B389">
        <v>16.472100000000001</v>
      </c>
    </row>
    <row r="390" spans="1:2" x14ac:dyDescent="0.25">
      <c r="A390" s="2">
        <v>45932</v>
      </c>
      <c r="B390">
        <v>16.809899999999999</v>
      </c>
    </row>
    <row r="391" spans="1:2" x14ac:dyDescent="0.25">
      <c r="A391" s="2">
        <v>45933</v>
      </c>
      <c r="B391">
        <v>16.087900000000001</v>
      </c>
    </row>
    <row r="392" spans="1:2" x14ac:dyDescent="0.25">
      <c r="A392" s="2">
        <v>45936</v>
      </c>
      <c r="B392">
        <v>17.722000000000001</v>
      </c>
    </row>
    <row r="393" spans="1:2" x14ac:dyDescent="0.25">
      <c r="A393" s="2">
        <v>45937</v>
      </c>
      <c r="B393">
        <v>18.186299999999999</v>
      </c>
    </row>
    <row r="394" spans="1:2" x14ac:dyDescent="0.25">
      <c r="A394" s="2">
        <v>45938</v>
      </c>
      <c r="B394">
        <v>17.516400000000001</v>
      </c>
    </row>
    <row r="395" spans="1:2" x14ac:dyDescent="0.25">
      <c r="A395" s="2">
        <v>45939</v>
      </c>
      <c r="B395">
        <v>17.207699999999999</v>
      </c>
    </row>
    <row r="396" spans="1:2" x14ac:dyDescent="0.25">
      <c r="A396" s="2">
        <v>45940</v>
      </c>
      <c r="B396">
        <v>19.595099999999999</v>
      </c>
    </row>
    <row r="397" spans="1:2" x14ac:dyDescent="0.25">
      <c r="A397" s="2">
        <v>45943</v>
      </c>
      <c r="B397">
        <v>19.677</v>
      </c>
    </row>
    <row r="398" spans="1:2" x14ac:dyDescent="0.25">
      <c r="A398" s="2">
        <v>45944</v>
      </c>
      <c r="B398">
        <v>20.420300000000001</v>
      </c>
    </row>
    <row r="399" spans="1:2" x14ac:dyDescent="0.25">
      <c r="A399" s="2">
        <v>45945</v>
      </c>
      <c r="B399">
        <v>19.162400000000002</v>
      </c>
    </row>
    <row r="400" spans="1:2" x14ac:dyDescent="0.25">
      <c r="A400" s="2">
        <v>45946</v>
      </c>
      <c r="B400">
        <v>19.401399999999999</v>
      </c>
    </row>
    <row r="401" spans="1:2" x14ac:dyDescent="0.25">
      <c r="A401" s="2">
        <v>45947</v>
      </c>
      <c r="B401">
        <v>20.236899999999999</v>
      </c>
    </row>
    <row r="402" spans="1:2" x14ac:dyDescent="0.25">
      <c r="A402" s="2">
        <v>45950</v>
      </c>
      <c r="B402">
        <v>17.224900000000002</v>
      </c>
    </row>
    <row r="403" spans="1:2" x14ac:dyDescent="0.25">
      <c r="A403" s="2">
        <v>45951</v>
      </c>
      <c r="B403">
        <v>16.868600000000001</v>
      </c>
    </row>
    <row r="404" spans="1:2" x14ac:dyDescent="0.25">
      <c r="A404" s="2">
        <v>45952</v>
      </c>
      <c r="B404">
        <v>17.7501</v>
      </c>
    </row>
    <row r="405" spans="1:2" x14ac:dyDescent="0.25">
      <c r="A405" s="2">
        <v>45953</v>
      </c>
      <c r="B405">
        <v>17.134399999999999</v>
      </c>
    </row>
    <row r="406" spans="1:2" x14ac:dyDescent="0.25">
      <c r="A406" s="2">
        <v>45954</v>
      </c>
      <c r="B406">
        <v>16.482199999999999</v>
      </c>
    </row>
    <row r="407" spans="1:2" x14ac:dyDescent="0.25">
      <c r="A407" s="2">
        <v>45957</v>
      </c>
      <c r="B407">
        <v>16.3429</v>
      </c>
    </row>
    <row r="408" spans="1:2" x14ac:dyDescent="0.25">
      <c r="A408" s="2">
        <v>45958</v>
      </c>
      <c r="B408">
        <v>16.437200000000001</v>
      </c>
    </row>
    <row r="409" spans="1:2" x14ac:dyDescent="0.25">
      <c r="A409" s="2">
        <v>45959</v>
      </c>
      <c r="B409">
        <v>17.034500000000001</v>
      </c>
    </row>
    <row r="410" spans="1:2" x14ac:dyDescent="0.25">
      <c r="A410" s="2">
        <v>45960</v>
      </c>
      <c r="B410">
        <v>16.874400000000001</v>
      </c>
    </row>
    <row r="411" spans="1:2" x14ac:dyDescent="0.25">
      <c r="A411" s="2">
        <v>45961</v>
      </c>
      <c r="B411">
        <v>17.814800000000002</v>
      </c>
    </row>
    <row r="412" spans="1:2" x14ac:dyDescent="0.25">
      <c r="A412" s="2">
        <v>45964</v>
      </c>
      <c r="B412">
        <v>18.148299999999999</v>
      </c>
    </row>
    <row r="413" spans="1:2" x14ac:dyDescent="0.25">
      <c r="A413" s="2">
        <v>45965</v>
      </c>
      <c r="B413">
        <v>18.628499999999999</v>
      </c>
    </row>
    <row r="414" spans="1:2" x14ac:dyDescent="0.25">
      <c r="A414" s="2">
        <v>45966</v>
      </c>
      <c r="B414">
        <v>17.8904</v>
      </c>
    </row>
    <row r="415" spans="1:2" x14ac:dyDescent="0.25">
      <c r="A415" s="2">
        <v>45967</v>
      </c>
      <c r="B415">
        <v>19.355</v>
      </c>
    </row>
    <row r="416" spans="1:2" x14ac:dyDescent="0.25">
      <c r="A416" s="2">
        <v>45968</v>
      </c>
      <c r="B416">
        <v>21.377500000000001</v>
      </c>
    </row>
    <row r="417" spans="1:2" x14ac:dyDescent="0.25">
      <c r="A417" s="2">
        <v>45971</v>
      </c>
      <c r="B417">
        <v>18.487100000000002</v>
      </c>
    </row>
    <row r="418" spans="1:2" x14ac:dyDescent="0.25">
      <c r="A418" s="2">
        <v>45972</v>
      </c>
      <c r="B418">
        <v>17.953299999999999</v>
      </c>
    </row>
    <row r="419" spans="1:2" x14ac:dyDescent="0.25">
      <c r="A419" s="2">
        <v>45973</v>
      </c>
      <c r="B419">
        <v>17.8413</v>
      </c>
    </row>
    <row r="420" spans="1:2" x14ac:dyDescent="0.25">
      <c r="A420" s="2">
        <v>45974</v>
      </c>
      <c r="B420">
        <v>18.7927</v>
      </c>
    </row>
    <row r="421" spans="1:2" x14ac:dyDescent="0.25">
      <c r="A421" s="2">
        <v>45975</v>
      </c>
      <c r="B421">
        <v>19.1952</v>
      </c>
    </row>
    <row r="422" spans="1:2" x14ac:dyDescent="0.25">
      <c r="A422" s="2">
        <v>45978</v>
      </c>
      <c r="B422">
        <v>20.207100000000001</v>
      </c>
    </row>
    <row r="423" spans="1:2" x14ac:dyDescent="0.25">
      <c r="A423" s="2">
        <v>45979</v>
      </c>
      <c r="B423">
        <v>22.894300000000001</v>
      </c>
    </row>
    <row r="424" spans="1:2" x14ac:dyDescent="0.25">
      <c r="A424" s="2">
        <v>45980</v>
      </c>
      <c r="B424">
        <v>23.002700000000001</v>
      </c>
    </row>
    <row r="425" spans="1:2" x14ac:dyDescent="0.25">
      <c r="A425" s="2">
        <v>45981</v>
      </c>
      <c r="B425">
        <v>21.858899999999998</v>
      </c>
    </row>
    <row r="426" spans="1:2" x14ac:dyDescent="0.25">
      <c r="A426" s="2">
        <v>45982</v>
      </c>
      <c r="B426">
        <v>24.555199999999999</v>
      </c>
    </row>
    <row r="427" spans="1:2" x14ac:dyDescent="0.25">
      <c r="A427" s="2">
        <v>45985</v>
      </c>
      <c r="B427">
        <v>21.108599999999999</v>
      </c>
    </row>
    <row r="428" spans="1:2" x14ac:dyDescent="0.25">
      <c r="A428" s="2">
        <v>45986</v>
      </c>
      <c r="B428">
        <v>19.843</v>
      </c>
    </row>
    <row r="429" spans="1:2" x14ac:dyDescent="0.25">
      <c r="A429" s="2">
        <v>45987</v>
      </c>
      <c r="B429">
        <v>18.489999999999998</v>
      </c>
    </row>
    <row r="430" spans="1:2" x14ac:dyDescent="0.25">
      <c r="A430" s="2">
        <v>45988</v>
      </c>
      <c r="B430">
        <v>17.944700000000001</v>
      </c>
    </row>
    <row r="431" spans="1:2" x14ac:dyDescent="0.25">
      <c r="A431" s="2">
        <v>45989</v>
      </c>
      <c r="B431">
        <v>17.117799999999999</v>
      </c>
    </row>
    <row r="432" spans="1:2" x14ac:dyDescent="0.25">
      <c r="A432" s="2">
        <v>45992</v>
      </c>
      <c r="B432">
        <v>17.331</v>
      </c>
    </row>
    <row r="433" spans="1:2" x14ac:dyDescent="0.25">
      <c r="A433" s="2">
        <v>45993</v>
      </c>
      <c r="B433">
        <v>17.091000000000001</v>
      </c>
    </row>
    <row r="434" spans="1:2" x14ac:dyDescent="0.25">
      <c r="A434" s="2">
        <v>45994</v>
      </c>
      <c r="B434">
        <v>16.625599999999999</v>
      </c>
    </row>
    <row r="435" spans="1:2" x14ac:dyDescent="0.25">
      <c r="A435" s="2">
        <v>45995</v>
      </c>
      <c r="B435">
        <v>15.981299999999999</v>
      </c>
    </row>
    <row r="436" spans="1:2" x14ac:dyDescent="0.25">
      <c r="A436" s="2">
        <v>45996</v>
      </c>
      <c r="B436">
        <v>15.7811</v>
      </c>
    </row>
    <row r="437" spans="1:2" x14ac:dyDescent="0.25">
      <c r="A437" s="2">
        <v>45999</v>
      </c>
      <c r="B437">
        <v>16.109500000000001</v>
      </c>
    </row>
    <row r="438" spans="1:2" x14ac:dyDescent="0.25">
      <c r="A438" s="2">
        <v>46000</v>
      </c>
      <c r="B438">
        <v>16.119299999999999</v>
      </c>
    </row>
    <row r="439" spans="1:2" x14ac:dyDescent="0.25">
      <c r="A439" s="2">
        <v>46001</v>
      </c>
      <c r="B439">
        <v>16.218299999999999</v>
      </c>
    </row>
    <row r="440" spans="1:2" x14ac:dyDescent="0.25">
      <c r="A440" s="2">
        <v>46002</v>
      </c>
      <c r="B440">
        <v>15.039899999999999</v>
      </c>
    </row>
    <row r="441" spans="1:2" x14ac:dyDescent="0.25">
      <c r="A441" s="2">
        <v>46003</v>
      </c>
      <c r="B441">
        <v>15.671900000000001</v>
      </c>
    </row>
    <row r="442" spans="1:2" x14ac:dyDescent="0.25">
      <c r="A442" s="2">
        <v>46006</v>
      </c>
      <c r="B442">
        <v>15.103</v>
      </c>
    </row>
    <row r="443" spans="1:2" x14ac:dyDescent="0.25">
      <c r="A443" s="2">
        <v>46007</v>
      </c>
      <c r="B443">
        <v>15.3826</v>
      </c>
    </row>
    <row r="444" spans="1:2" x14ac:dyDescent="0.25">
      <c r="A444" s="2">
        <v>46008</v>
      </c>
      <c r="B444">
        <v>15.8847</v>
      </c>
    </row>
    <row r="445" spans="1:2" x14ac:dyDescent="0.25">
      <c r="A445" s="2">
        <v>46009</v>
      </c>
      <c r="B445">
        <v>15.5296</v>
      </c>
    </row>
    <row r="446" spans="1:2" x14ac:dyDescent="0.25">
      <c r="A446" s="2">
        <v>46010</v>
      </c>
      <c r="B446">
        <v>14.569100000000001</v>
      </c>
    </row>
    <row r="447" spans="1:2" x14ac:dyDescent="0.25">
      <c r="A447" s="2">
        <v>46013</v>
      </c>
      <c r="B447">
        <v>14.413399999999999</v>
      </c>
    </row>
    <row r="448" spans="1:2" x14ac:dyDescent="0.25">
      <c r="A448" s="2">
        <v>46014</v>
      </c>
      <c r="B448">
        <v>14.0473</v>
      </c>
    </row>
    <row r="449" spans="1:2" x14ac:dyDescent="0.25">
      <c r="A449" s="2">
        <v>46020</v>
      </c>
      <c r="B449">
        <v>15.405099999999999</v>
      </c>
    </row>
    <row r="450" spans="1:2" x14ac:dyDescent="0.25">
      <c r="A450" s="2">
        <v>46021</v>
      </c>
      <c r="B450">
        <v>14.7136</v>
      </c>
    </row>
    <row r="451" spans="1:2" x14ac:dyDescent="0.25">
      <c r="A451" s="2">
        <v>46024</v>
      </c>
      <c r="B451">
        <v>15.2356</v>
      </c>
    </row>
    <row r="452" spans="1:2" x14ac:dyDescent="0.25">
      <c r="A452" s="2">
        <v>46027</v>
      </c>
      <c r="B452">
        <v>15.4491</v>
      </c>
    </row>
    <row r="453" spans="1:2" x14ac:dyDescent="0.25">
      <c r="A453" s="2">
        <v>46028</v>
      </c>
      <c r="B453">
        <v>15.3544</v>
      </c>
    </row>
    <row r="454" spans="1:2" x14ac:dyDescent="0.25">
      <c r="A454" s="2">
        <v>46029</v>
      </c>
      <c r="B454">
        <v>15.6937</v>
      </c>
    </row>
    <row r="455" spans="1:2" x14ac:dyDescent="0.25">
      <c r="A455" s="2">
        <v>46030</v>
      </c>
      <c r="B455">
        <v>15.9328</v>
      </c>
    </row>
    <row r="456" spans="1:2" x14ac:dyDescent="0.25">
      <c r="A456" s="2">
        <v>46031</v>
      </c>
      <c r="B456">
        <v>15.5145</v>
      </c>
    </row>
    <row r="457" spans="1:2" x14ac:dyDescent="0.25">
      <c r="A457" s="2">
        <v>46034</v>
      </c>
      <c r="B457">
        <v>16.2014</v>
      </c>
    </row>
    <row r="458" spans="1:2" x14ac:dyDescent="0.25">
      <c r="A458" s="2">
        <v>46035</v>
      </c>
      <c r="B458">
        <v>16.4437</v>
      </c>
    </row>
    <row r="459" spans="1:2" x14ac:dyDescent="0.25">
      <c r="A459" s="2">
        <v>46036</v>
      </c>
      <c r="B459">
        <v>17.441800000000001</v>
      </c>
    </row>
    <row r="460" spans="1:2" x14ac:dyDescent="0.25">
      <c r="A460" s="2">
        <v>46037</v>
      </c>
      <c r="B460">
        <v>15.4977</v>
      </c>
    </row>
    <row r="461" spans="1:2" x14ac:dyDescent="0.25">
      <c r="A461" s="2">
        <v>46038</v>
      </c>
      <c r="B461">
        <v>16.194500000000001</v>
      </c>
    </row>
    <row r="462" spans="1:2" x14ac:dyDescent="0.25">
      <c r="A462" s="2">
        <v>46041</v>
      </c>
      <c r="B462">
        <v>19.95</v>
      </c>
    </row>
    <row r="463" spans="1:2" x14ac:dyDescent="0.25">
      <c r="A463" s="2">
        <v>46042</v>
      </c>
      <c r="B463">
        <v>19.977399999999999</v>
      </c>
    </row>
    <row r="464" spans="1:2" x14ac:dyDescent="0.25">
      <c r="A464" s="2">
        <v>46043</v>
      </c>
      <c r="B464">
        <v>18.727399999999999</v>
      </c>
    </row>
    <row r="465" spans="1:2" x14ac:dyDescent="0.25">
      <c r="A465" s="2">
        <v>46044</v>
      </c>
      <c r="B465">
        <v>17.177299999999999</v>
      </c>
    </row>
    <row r="466" spans="1:2" x14ac:dyDescent="0.25">
      <c r="A466" s="2">
        <v>46045</v>
      </c>
      <c r="B466">
        <v>17.469000000000001</v>
      </c>
    </row>
    <row r="467" spans="1:2" x14ac:dyDescent="0.25">
      <c r="A467" s="2">
        <v>46048</v>
      </c>
      <c r="B467">
        <v>17.280999999999999</v>
      </c>
    </row>
    <row r="468" spans="1:2" x14ac:dyDescent="0.25">
      <c r="A468" s="2">
        <v>46049</v>
      </c>
      <c r="B468">
        <v>17.1968</v>
      </c>
    </row>
    <row r="469" spans="1:2" x14ac:dyDescent="0.25">
      <c r="A469" s="2">
        <v>46050</v>
      </c>
      <c r="B469">
        <v>18.387599999999999</v>
      </c>
    </row>
    <row r="470" spans="1:2" x14ac:dyDescent="0.25">
      <c r="A470" s="2">
        <v>46051</v>
      </c>
      <c r="B470">
        <v>20.742699999999999</v>
      </c>
    </row>
    <row r="471" spans="1:2" x14ac:dyDescent="0.25">
      <c r="A471" s="2">
        <v>46052</v>
      </c>
      <c r="B471">
        <v>19.986799999999999</v>
      </c>
    </row>
    <row r="472" spans="1:2" x14ac:dyDescent="0.25">
      <c r="A472" s="2">
        <v>46055</v>
      </c>
      <c r="B472">
        <v>18.1096</v>
      </c>
    </row>
    <row r="473" spans="1:2" x14ac:dyDescent="0.25">
      <c r="A473" s="2">
        <v>46056</v>
      </c>
      <c r="B473">
        <v>18.4724</v>
      </c>
    </row>
    <row r="474" spans="1:2" x14ac:dyDescent="0.25">
      <c r="A474" s="2">
        <v>46057</v>
      </c>
      <c r="B474">
        <v>19.273399999999999</v>
      </c>
    </row>
    <row r="475" spans="1:2" x14ac:dyDescent="0.25">
      <c r="A475" s="2">
        <v>46058</v>
      </c>
      <c r="B475">
        <v>21.264900000000001</v>
      </c>
    </row>
    <row r="476" spans="1:2" x14ac:dyDescent="0.25">
      <c r="A476" s="2">
        <v>46059</v>
      </c>
      <c r="B476">
        <v>19.2334</v>
      </c>
    </row>
    <row r="477" spans="1:2" x14ac:dyDescent="0.25">
      <c r="A477" s="2">
        <v>46062</v>
      </c>
      <c r="B477">
        <v>17.9193</v>
      </c>
    </row>
    <row r="478" spans="1:2" x14ac:dyDescent="0.25">
      <c r="A478" s="2">
        <v>46063</v>
      </c>
      <c r="B478">
        <v>18.002800000000001</v>
      </c>
    </row>
    <row r="479" spans="1:2" x14ac:dyDescent="0.25">
      <c r="A479" s="2">
        <v>46064</v>
      </c>
      <c r="B479">
        <v>18.002700000000001</v>
      </c>
    </row>
    <row r="480" spans="1:2" x14ac:dyDescent="0.25">
      <c r="A480" s="2">
        <v>46065</v>
      </c>
      <c r="B480">
        <v>20.244299999999999</v>
      </c>
    </row>
    <row r="481" spans="1:2" x14ac:dyDescent="0.25">
      <c r="A481" s="2">
        <v>46066</v>
      </c>
      <c r="B481">
        <v>19.7363</v>
      </c>
    </row>
    <row r="482" spans="1:2" x14ac:dyDescent="0.25">
      <c r="A482" s="2">
        <v>46069</v>
      </c>
      <c r="B482">
        <v>20.1526</v>
      </c>
    </row>
    <row r="483" spans="1:2" x14ac:dyDescent="0.25">
      <c r="A483" s="2">
        <v>46070</v>
      </c>
      <c r="B483">
        <v>19.4361</v>
      </c>
    </row>
    <row r="484" spans="1:2" x14ac:dyDescent="0.25">
      <c r="A484" s="2">
        <v>46071</v>
      </c>
      <c r="B484">
        <v>18.1492</v>
      </c>
    </row>
    <row r="485" spans="1:2" x14ac:dyDescent="0.25">
      <c r="A485" s="2">
        <v>46072</v>
      </c>
      <c r="B485">
        <v>19.961400000000001</v>
      </c>
    </row>
    <row r="486" spans="1:2" x14ac:dyDescent="0.25">
      <c r="A486" s="2">
        <v>46073</v>
      </c>
      <c r="B486">
        <v>18.690899999999999</v>
      </c>
    </row>
    <row r="487" spans="1:2" x14ac:dyDescent="0.25">
      <c r="A487" s="2">
        <v>46076</v>
      </c>
      <c r="B487">
        <v>19.687200000000001</v>
      </c>
    </row>
    <row r="488" spans="1:2" x14ac:dyDescent="0.25">
      <c r="A488" s="2">
        <v>46077</v>
      </c>
      <c r="B488">
        <v>19.061599999999999</v>
      </c>
    </row>
    <row r="489" spans="1:2" x14ac:dyDescent="0.25">
      <c r="A489" s="2">
        <v>46078</v>
      </c>
      <c r="B489">
        <v>18.062000000000001</v>
      </c>
    </row>
    <row r="490" spans="1:2" x14ac:dyDescent="0.25">
      <c r="A490" s="2">
        <v>46079</v>
      </c>
      <c r="B490">
        <v>18.8978</v>
      </c>
    </row>
    <row r="491" spans="1:2" x14ac:dyDescent="0.25">
      <c r="A491" s="2">
        <v>46080</v>
      </c>
      <c r="B491">
        <v>19.683499999999999</v>
      </c>
    </row>
    <row r="492" spans="1:2" x14ac:dyDescent="0.25">
      <c r="A492" s="2">
        <v>46083</v>
      </c>
      <c r="B492">
        <v>22.711300000000001</v>
      </c>
    </row>
    <row r="493" spans="1:2" x14ac:dyDescent="0.25">
      <c r="A493" s="2">
        <v>46084</v>
      </c>
      <c r="B493">
        <v>29.2622</v>
      </c>
    </row>
    <row r="494" spans="1:2" x14ac:dyDescent="0.25">
      <c r="A494" s="2">
        <v>46085</v>
      </c>
      <c r="B494">
        <v>24.113099999999999</v>
      </c>
    </row>
    <row r="495" spans="1:2" x14ac:dyDescent="0.25">
      <c r="A495" s="2">
        <v>46086</v>
      </c>
      <c r="B495">
        <v>28.550999999999998</v>
      </c>
    </row>
    <row r="496" spans="1:2" x14ac:dyDescent="0.25">
      <c r="A496" s="2">
        <v>46087</v>
      </c>
      <c r="B496">
        <v>31.229500000000002</v>
      </c>
    </row>
    <row r="497" spans="1:2" x14ac:dyDescent="0.25">
      <c r="A497" s="2">
        <v>46090</v>
      </c>
      <c r="B497">
        <v>31.126000000000001</v>
      </c>
    </row>
    <row r="498" spans="1:2" x14ac:dyDescent="0.25">
      <c r="A498" s="2">
        <v>46091</v>
      </c>
      <c r="B498">
        <v>27.297799999999999</v>
      </c>
    </row>
    <row r="499" spans="1:2" x14ac:dyDescent="0.25">
      <c r="A499" s="2">
        <v>46092</v>
      </c>
      <c r="B499">
        <v>30.417899999999999</v>
      </c>
    </row>
    <row r="500" spans="1:2" x14ac:dyDescent="0.25">
      <c r="A500" s="2">
        <v>46093</v>
      </c>
      <c r="B500">
        <v>30.592300000000002</v>
      </c>
    </row>
    <row r="501" spans="1:2" x14ac:dyDescent="0.25">
      <c r="A501" s="2">
        <v>46094</v>
      </c>
      <c r="B501">
        <v>30.328600000000002</v>
      </c>
    </row>
    <row r="502" spans="1:2" x14ac:dyDescent="0.25">
      <c r="A502" s="2">
        <v>46097</v>
      </c>
      <c r="B502">
        <v>27.963100000000001</v>
      </c>
    </row>
    <row r="503" spans="1:2" x14ac:dyDescent="0.25">
      <c r="A503" s="2">
        <v>46098</v>
      </c>
      <c r="B503">
        <v>26.334599999999998</v>
      </c>
    </row>
    <row r="504" spans="1:2" x14ac:dyDescent="0.25">
      <c r="A504" s="2">
        <v>46099</v>
      </c>
      <c r="B504">
        <v>27.149799999999999</v>
      </c>
    </row>
    <row r="505" spans="1:2" x14ac:dyDescent="0.25">
      <c r="A505" s="2">
        <v>46100</v>
      </c>
      <c r="B505">
        <v>29.7636</v>
      </c>
    </row>
    <row r="506" spans="1:2" x14ac:dyDescent="0.25">
      <c r="A506" s="2">
        <v>46101</v>
      </c>
      <c r="B506">
        <v>31.765899999999998</v>
      </c>
    </row>
    <row r="507" spans="1:2" x14ac:dyDescent="0.25">
      <c r="A507" s="2">
        <v>46104</v>
      </c>
      <c r="B507">
        <v>32.660600000000002</v>
      </c>
    </row>
    <row r="508" spans="1:2" x14ac:dyDescent="0.25">
      <c r="A508" s="2">
        <v>46105</v>
      </c>
      <c r="B508">
        <v>31.802499999999998</v>
      </c>
    </row>
    <row r="509" spans="1:2" x14ac:dyDescent="0.25">
      <c r="A509" s="2">
        <v>46106</v>
      </c>
      <c r="B509">
        <v>31.145600000000002</v>
      </c>
    </row>
    <row r="510" spans="1:2" x14ac:dyDescent="0.25">
      <c r="A510" s="2">
        <v>46107</v>
      </c>
      <c r="B510">
        <v>33.2547</v>
      </c>
    </row>
    <row r="511" spans="1:2" x14ac:dyDescent="0.25">
      <c r="A511" s="2">
        <v>46108</v>
      </c>
      <c r="B511">
        <v>34.775300000000001</v>
      </c>
    </row>
    <row r="512" spans="1:2" x14ac:dyDescent="0.25">
      <c r="A512" s="2">
        <v>46111</v>
      </c>
      <c r="B512">
        <v>34.3125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6"/>
  <sheetViews>
    <sheetView topLeftCell="A218" workbookViewId="0">
      <selection activeCell="D6" sqref="D6"/>
    </sheetView>
  </sheetViews>
  <sheetFormatPr defaultRowHeight="15" x14ac:dyDescent="0.25"/>
  <cols>
    <col min="1" max="1" width="11.85546875" bestFit="1" customWidth="1"/>
    <col min="2" max="2" width="13.42578125" bestFit="1" customWidth="1"/>
  </cols>
  <sheetData>
    <row r="1" spans="1:2" x14ac:dyDescent="0.25">
      <c r="A1" t="s">
        <v>0</v>
      </c>
      <c r="B1" s="2">
        <v>45380</v>
      </c>
    </row>
    <row r="2" spans="1:2" x14ac:dyDescent="0.25">
      <c r="A2" t="s">
        <v>1</v>
      </c>
    </row>
    <row r="4" spans="1:2" x14ac:dyDescent="0.25">
      <c r="B4" t="s">
        <v>58</v>
      </c>
    </row>
    <row r="5" spans="1:2" x14ac:dyDescent="0.25">
      <c r="B5" t="str">
        <f>_xll.BFieldInfo(B$6)</f>
        <v>Last Price</v>
      </c>
    </row>
    <row r="6" spans="1:2" x14ac:dyDescent="0.25">
      <c r="A6" t="s">
        <v>3</v>
      </c>
      <c r="B6" t="s">
        <v>4</v>
      </c>
    </row>
    <row r="7" spans="1:2" x14ac:dyDescent="0.25">
      <c r="A7" s="22">
        <f>_xll.BDH(B$4,B$6,$B1,$B2,"Dir=V","Dts=S","cols=2;rows=510")</f>
        <v>45384</v>
      </c>
      <c r="B7">
        <v>13.875</v>
      </c>
    </row>
    <row r="8" spans="1:2" x14ac:dyDescent="0.25">
      <c r="A8" s="22">
        <v>45385</v>
      </c>
      <c r="B8">
        <v>14.055</v>
      </c>
    </row>
    <row r="9" spans="1:2" x14ac:dyDescent="0.25">
      <c r="A9" s="22">
        <v>45386</v>
      </c>
      <c r="B9">
        <v>14.145</v>
      </c>
    </row>
    <row r="10" spans="1:2" x14ac:dyDescent="0.25">
      <c r="A10" s="22">
        <v>45387</v>
      </c>
      <c r="B10">
        <v>14.105</v>
      </c>
    </row>
    <row r="11" spans="1:2" x14ac:dyDescent="0.25">
      <c r="A11" s="22">
        <v>45390</v>
      </c>
      <c r="B11">
        <v>14.13</v>
      </c>
    </row>
    <row r="12" spans="1:2" x14ac:dyDescent="0.25">
      <c r="A12" s="22">
        <v>45391</v>
      </c>
      <c r="B12">
        <v>14.065</v>
      </c>
    </row>
    <row r="13" spans="1:2" x14ac:dyDescent="0.25">
      <c r="A13" s="22">
        <v>45392</v>
      </c>
      <c r="B13">
        <v>14.05</v>
      </c>
    </row>
    <row r="14" spans="1:2" x14ac:dyDescent="0.25">
      <c r="A14" s="22">
        <v>45393</v>
      </c>
      <c r="B14">
        <v>13.775</v>
      </c>
    </row>
    <row r="15" spans="1:2" x14ac:dyDescent="0.25">
      <c r="A15" s="22">
        <v>45394</v>
      </c>
      <c r="B15">
        <v>13.76</v>
      </c>
    </row>
    <row r="16" spans="1:2" x14ac:dyDescent="0.25">
      <c r="A16" s="22">
        <v>45397</v>
      </c>
      <c r="B16">
        <v>13.82</v>
      </c>
    </row>
    <row r="17" spans="1:2" x14ac:dyDescent="0.25">
      <c r="A17" s="22">
        <v>45398</v>
      </c>
      <c r="B17">
        <v>13.57</v>
      </c>
    </row>
    <row r="18" spans="1:2" x14ac:dyDescent="0.25">
      <c r="A18" s="22">
        <v>45399</v>
      </c>
      <c r="B18">
        <v>13.664999999999999</v>
      </c>
    </row>
    <row r="19" spans="1:2" x14ac:dyDescent="0.25">
      <c r="A19" s="22">
        <v>45400</v>
      </c>
      <c r="B19">
        <v>13.904999999999999</v>
      </c>
    </row>
    <row r="20" spans="1:2" x14ac:dyDescent="0.25">
      <c r="A20" s="22">
        <v>45401</v>
      </c>
      <c r="B20">
        <v>14.035</v>
      </c>
    </row>
    <row r="21" spans="1:2" x14ac:dyDescent="0.25">
      <c r="A21" s="22">
        <v>45404</v>
      </c>
      <c r="B21">
        <v>14.22</v>
      </c>
    </row>
    <row r="22" spans="1:2" x14ac:dyDescent="0.25">
      <c r="A22" s="22">
        <v>45405</v>
      </c>
      <c r="B22">
        <v>14.385</v>
      </c>
    </row>
    <row r="23" spans="1:2" x14ac:dyDescent="0.25">
      <c r="A23" s="22">
        <v>45406</v>
      </c>
      <c r="B23">
        <v>14.45</v>
      </c>
    </row>
    <row r="24" spans="1:2" x14ac:dyDescent="0.25">
      <c r="A24" s="22">
        <v>45407</v>
      </c>
      <c r="B24">
        <v>14.475</v>
      </c>
    </row>
    <row r="25" spans="1:2" x14ac:dyDescent="0.25">
      <c r="A25" s="22">
        <v>45408</v>
      </c>
      <c r="B25">
        <v>14.555</v>
      </c>
    </row>
    <row r="26" spans="1:2" x14ac:dyDescent="0.25">
      <c r="A26" s="22">
        <v>45411</v>
      </c>
      <c r="B26">
        <v>14.55</v>
      </c>
    </row>
    <row r="27" spans="1:2" x14ac:dyDescent="0.25">
      <c r="A27" s="22">
        <v>45412</v>
      </c>
      <c r="B27">
        <v>14.55</v>
      </c>
    </row>
    <row r="28" spans="1:2" x14ac:dyDescent="0.25">
      <c r="A28" s="22">
        <v>45414</v>
      </c>
      <c r="B28">
        <v>14.61</v>
      </c>
    </row>
    <row r="29" spans="1:2" x14ac:dyDescent="0.25">
      <c r="A29" s="22">
        <v>45415</v>
      </c>
      <c r="B29">
        <v>14.77</v>
      </c>
    </row>
    <row r="30" spans="1:2" x14ac:dyDescent="0.25">
      <c r="A30" s="22">
        <v>45418</v>
      </c>
      <c r="B30">
        <v>15</v>
      </c>
    </row>
    <row r="31" spans="1:2" x14ac:dyDescent="0.25">
      <c r="A31" s="22">
        <v>45419</v>
      </c>
      <c r="B31">
        <v>15.275</v>
      </c>
    </row>
    <row r="32" spans="1:2" x14ac:dyDescent="0.25">
      <c r="A32" s="22">
        <v>45420</v>
      </c>
      <c r="B32">
        <v>15.39</v>
      </c>
    </row>
    <row r="33" spans="1:2" x14ac:dyDescent="0.25">
      <c r="A33" s="22">
        <v>45421</v>
      </c>
      <c r="B33">
        <v>15.43</v>
      </c>
    </row>
    <row r="34" spans="1:2" x14ac:dyDescent="0.25">
      <c r="A34" s="22">
        <v>45422</v>
      </c>
      <c r="B34">
        <v>15.45</v>
      </c>
    </row>
    <row r="35" spans="1:2" x14ac:dyDescent="0.25">
      <c r="A35" s="22">
        <v>45425</v>
      </c>
      <c r="B35">
        <v>15.62</v>
      </c>
    </row>
    <row r="36" spans="1:2" x14ac:dyDescent="0.25">
      <c r="A36" s="22">
        <v>45426</v>
      </c>
      <c r="B36">
        <v>15.654999999999999</v>
      </c>
    </row>
    <row r="37" spans="1:2" x14ac:dyDescent="0.25">
      <c r="A37" s="22">
        <v>45427</v>
      </c>
      <c r="B37">
        <v>15.64</v>
      </c>
    </row>
    <row r="38" spans="1:2" x14ac:dyDescent="0.25">
      <c r="A38" s="22">
        <v>45428</v>
      </c>
      <c r="B38">
        <v>15.625</v>
      </c>
    </row>
    <row r="39" spans="1:2" x14ac:dyDescent="0.25">
      <c r="A39" s="22">
        <v>45429</v>
      </c>
      <c r="B39">
        <v>15.84</v>
      </c>
    </row>
    <row r="40" spans="1:2" x14ac:dyDescent="0.25">
      <c r="A40" s="22">
        <v>45432</v>
      </c>
      <c r="B40">
        <v>15.865</v>
      </c>
    </row>
    <row r="41" spans="1:2" x14ac:dyDescent="0.25">
      <c r="A41" s="22">
        <v>45433</v>
      </c>
      <c r="B41">
        <v>15.775</v>
      </c>
    </row>
    <row r="42" spans="1:2" x14ac:dyDescent="0.25">
      <c r="A42" s="22">
        <v>45434</v>
      </c>
      <c r="B42">
        <v>15.715</v>
      </c>
    </row>
    <row r="43" spans="1:2" x14ac:dyDescent="0.25">
      <c r="A43" s="22">
        <v>45435</v>
      </c>
      <c r="B43">
        <v>15.725</v>
      </c>
    </row>
    <row r="44" spans="1:2" x14ac:dyDescent="0.25">
      <c r="A44" s="22">
        <v>45436</v>
      </c>
      <c r="B44">
        <v>15.775</v>
      </c>
    </row>
    <row r="45" spans="1:2" x14ac:dyDescent="0.25">
      <c r="A45" s="22">
        <v>45439</v>
      </c>
      <c r="B45">
        <v>15.855</v>
      </c>
    </row>
    <row r="46" spans="1:2" x14ac:dyDescent="0.25">
      <c r="A46" s="22">
        <v>45440</v>
      </c>
      <c r="B46">
        <v>15.92</v>
      </c>
    </row>
    <row r="47" spans="1:2" x14ac:dyDescent="0.25">
      <c r="A47" s="22">
        <v>45441</v>
      </c>
      <c r="B47">
        <v>14.74</v>
      </c>
    </row>
    <row r="48" spans="1:2" x14ac:dyDescent="0.25">
      <c r="A48" s="22">
        <v>45442</v>
      </c>
      <c r="B48">
        <v>14.83</v>
      </c>
    </row>
    <row r="49" spans="1:2" x14ac:dyDescent="0.25">
      <c r="A49" s="22">
        <v>45443</v>
      </c>
      <c r="B49">
        <v>14.925000000000001</v>
      </c>
    </row>
    <row r="50" spans="1:2" x14ac:dyDescent="0.25">
      <c r="A50" s="22">
        <v>45446</v>
      </c>
      <c r="B50">
        <v>14.875</v>
      </c>
    </row>
    <row r="51" spans="1:2" x14ac:dyDescent="0.25">
      <c r="A51" s="22">
        <v>45447</v>
      </c>
      <c r="B51">
        <v>14.72</v>
      </c>
    </row>
    <row r="52" spans="1:2" x14ac:dyDescent="0.25">
      <c r="A52" s="22">
        <v>45448</v>
      </c>
      <c r="B52">
        <v>14.525</v>
      </c>
    </row>
    <row r="53" spans="1:2" x14ac:dyDescent="0.25">
      <c r="A53" s="22">
        <v>45449</v>
      </c>
      <c r="B53">
        <v>14.605</v>
      </c>
    </row>
    <row r="54" spans="1:2" x14ac:dyDescent="0.25">
      <c r="A54" s="22">
        <v>45450</v>
      </c>
      <c r="B54">
        <v>14.64</v>
      </c>
    </row>
    <row r="55" spans="1:2" x14ac:dyDescent="0.25">
      <c r="A55" s="22">
        <v>45453</v>
      </c>
      <c r="B55">
        <v>14.115</v>
      </c>
    </row>
    <row r="56" spans="1:2" x14ac:dyDescent="0.25">
      <c r="A56" s="22">
        <v>45454</v>
      </c>
      <c r="B56">
        <v>13.565</v>
      </c>
    </row>
    <row r="57" spans="1:2" x14ac:dyDescent="0.25">
      <c r="A57" s="22">
        <v>45455</v>
      </c>
      <c r="B57">
        <v>13.78</v>
      </c>
    </row>
    <row r="58" spans="1:2" x14ac:dyDescent="0.25">
      <c r="A58" s="22">
        <v>45456</v>
      </c>
      <c r="B58">
        <v>13.435</v>
      </c>
    </row>
    <row r="59" spans="1:2" x14ac:dyDescent="0.25">
      <c r="A59" s="22">
        <v>45457</v>
      </c>
      <c r="B59">
        <v>13.035</v>
      </c>
    </row>
    <row r="60" spans="1:2" x14ac:dyDescent="0.25">
      <c r="A60" s="22">
        <v>45460</v>
      </c>
      <c r="B60">
        <v>12.984999999999999</v>
      </c>
    </row>
    <row r="61" spans="1:2" x14ac:dyDescent="0.25">
      <c r="A61" s="22">
        <v>45461</v>
      </c>
      <c r="B61">
        <v>13.045</v>
      </c>
    </row>
    <row r="62" spans="1:2" x14ac:dyDescent="0.25">
      <c r="A62" s="22">
        <v>45462</v>
      </c>
      <c r="B62">
        <v>12.96</v>
      </c>
    </row>
    <row r="63" spans="1:2" x14ac:dyDescent="0.25">
      <c r="A63" s="22">
        <v>45463</v>
      </c>
      <c r="B63">
        <v>13.185</v>
      </c>
    </row>
    <row r="64" spans="1:2" x14ac:dyDescent="0.25">
      <c r="A64" s="22">
        <v>45464</v>
      </c>
      <c r="B64">
        <v>13.025</v>
      </c>
    </row>
    <row r="65" spans="1:2" x14ac:dyDescent="0.25">
      <c r="A65" s="22">
        <v>45467</v>
      </c>
      <c r="B65">
        <v>13.285</v>
      </c>
    </row>
    <row r="66" spans="1:2" x14ac:dyDescent="0.25">
      <c r="A66" s="22">
        <v>45468</v>
      </c>
      <c r="B66">
        <v>13.14</v>
      </c>
    </row>
    <row r="67" spans="1:2" x14ac:dyDescent="0.25">
      <c r="A67" s="22">
        <v>45469</v>
      </c>
      <c r="B67">
        <v>12.98</v>
      </c>
    </row>
    <row r="68" spans="1:2" x14ac:dyDescent="0.25">
      <c r="A68" s="22">
        <v>45470</v>
      </c>
      <c r="B68">
        <v>12.93</v>
      </c>
    </row>
    <row r="69" spans="1:2" x14ac:dyDescent="0.25">
      <c r="A69" s="22">
        <v>45471</v>
      </c>
      <c r="B69">
        <v>12.74</v>
      </c>
    </row>
    <row r="70" spans="1:2" x14ac:dyDescent="0.25">
      <c r="A70" s="22">
        <v>45474</v>
      </c>
      <c r="B70">
        <v>13.1</v>
      </c>
    </row>
    <row r="71" spans="1:2" x14ac:dyDescent="0.25">
      <c r="A71" s="22">
        <v>45475</v>
      </c>
      <c r="B71">
        <v>12.97</v>
      </c>
    </row>
    <row r="72" spans="1:2" x14ac:dyDescent="0.25">
      <c r="A72" s="22">
        <v>45476</v>
      </c>
      <c r="B72">
        <v>13.26</v>
      </c>
    </row>
    <row r="73" spans="1:2" x14ac:dyDescent="0.25">
      <c r="A73" s="22">
        <v>45477</v>
      </c>
      <c r="B73">
        <v>13.56</v>
      </c>
    </row>
    <row r="74" spans="1:2" x14ac:dyDescent="0.25">
      <c r="A74" s="22">
        <v>45478</v>
      </c>
      <c r="B74">
        <v>13.625</v>
      </c>
    </row>
    <row r="75" spans="1:2" x14ac:dyDescent="0.25">
      <c r="A75" s="22">
        <v>45481</v>
      </c>
      <c r="B75">
        <v>13.56</v>
      </c>
    </row>
    <row r="76" spans="1:2" x14ac:dyDescent="0.25">
      <c r="A76" s="22">
        <v>45482</v>
      </c>
      <c r="B76">
        <v>13.385</v>
      </c>
    </row>
    <row r="77" spans="1:2" x14ac:dyDescent="0.25">
      <c r="A77" s="22">
        <v>45483</v>
      </c>
      <c r="B77">
        <v>13.44</v>
      </c>
    </row>
    <row r="78" spans="1:2" x14ac:dyDescent="0.25">
      <c r="A78" s="22">
        <v>45484</v>
      </c>
      <c r="B78">
        <v>13.505000000000001</v>
      </c>
    </row>
    <row r="79" spans="1:2" x14ac:dyDescent="0.25">
      <c r="A79" s="22">
        <v>45485</v>
      </c>
      <c r="B79">
        <v>13.574999999999999</v>
      </c>
    </row>
    <row r="80" spans="1:2" x14ac:dyDescent="0.25">
      <c r="A80" s="22">
        <v>45488</v>
      </c>
      <c r="B80">
        <v>13.63</v>
      </c>
    </row>
    <row r="81" spans="1:2" x14ac:dyDescent="0.25">
      <c r="A81" s="22">
        <v>45489</v>
      </c>
      <c r="B81">
        <v>13.695</v>
      </c>
    </row>
    <row r="82" spans="1:2" x14ac:dyDescent="0.25">
      <c r="A82" s="22">
        <v>45490</v>
      </c>
      <c r="B82">
        <v>13.72</v>
      </c>
    </row>
    <row r="83" spans="1:2" x14ac:dyDescent="0.25">
      <c r="A83" s="22">
        <v>45491</v>
      </c>
      <c r="B83">
        <v>13.914999999999999</v>
      </c>
    </row>
    <row r="84" spans="1:2" x14ac:dyDescent="0.25">
      <c r="A84" s="22">
        <v>45492</v>
      </c>
      <c r="B84">
        <v>13.88</v>
      </c>
    </row>
    <row r="85" spans="1:2" x14ac:dyDescent="0.25">
      <c r="A85" s="22">
        <v>45495</v>
      </c>
      <c r="B85">
        <v>13.96</v>
      </c>
    </row>
    <row r="86" spans="1:2" x14ac:dyDescent="0.25">
      <c r="A86" s="22">
        <v>45496</v>
      </c>
      <c r="B86">
        <v>14.04</v>
      </c>
    </row>
    <row r="87" spans="1:2" x14ac:dyDescent="0.25">
      <c r="A87" s="22">
        <v>45497</v>
      </c>
      <c r="B87">
        <v>13.984999999999999</v>
      </c>
    </row>
    <row r="88" spans="1:2" x14ac:dyDescent="0.25">
      <c r="A88" s="22">
        <v>45498</v>
      </c>
      <c r="B88">
        <v>13.87</v>
      </c>
    </row>
    <row r="89" spans="1:2" x14ac:dyDescent="0.25">
      <c r="A89" s="22">
        <v>45499</v>
      </c>
      <c r="B89">
        <v>13.885</v>
      </c>
    </row>
    <row r="90" spans="1:2" x14ac:dyDescent="0.25">
      <c r="A90" s="22">
        <v>45502</v>
      </c>
      <c r="B90">
        <v>13.9</v>
      </c>
    </row>
    <row r="91" spans="1:2" x14ac:dyDescent="0.25">
      <c r="A91" s="22">
        <v>45503</v>
      </c>
      <c r="B91">
        <v>13.925000000000001</v>
      </c>
    </row>
    <row r="92" spans="1:2" x14ac:dyDescent="0.25">
      <c r="A92" s="22">
        <v>45504</v>
      </c>
      <c r="B92">
        <v>14.03</v>
      </c>
    </row>
    <row r="93" spans="1:2" x14ac:dyDescent="0.25">
      <c r="A93" s="22">
        <v>45505</v>
      </c>
      <c r="B93">
        <v>13.97</v>
      </c>
    </row>
    <row r="94" spans="1:2" x14ac:dyDescent="0.25">
      <c r="A94" s="22">
        <v>45506</v>
      </c>
      <c r="B94">
        <v>13.185</v>
      </c>
    </row>
    <row r="95" spans="1:2" x14ac:dyDescent="0.25">
      <c r="A95" s="22">
        <v>45509</v>
      </c>
      <c r="B95">
        <v>12.96</v>
      </c>
    </row>
    <row r="96" spans="1:2" x14ac:dyDescent="0.25">
      <c r="A96" s="22">
        <v>45510</v>
      </c>
      <c r="B96">
        <v>12.86</v>
      </c>
    </row>
    <row r="97" spans="1:2" x14ac:dyDescent="0.25">
      <c r="A97" s="22">
        <v>45511</v>
      </c>
      <c r="B97">
        <v>13.13</v>
      </c>
    </row>
    <row r="98" spans="1:2" x14ac:dyDescent="0.25">
      <c r="A98" s="22">
        <v>45512</v>
      </c>
      <c r="B98">
        <v>13.145</v>
      </c>
    </row>
    <row r="99" spans="1:2" x14ac:dyDescent="0.25">
      <c r="A99" s="22">
        <v>45513</v>
      </c>
      <c r="B99">
        <v>13.13</v>
      </c>
    </row>
    <row r="100" spans="1:2" x14ac:dyDescent="0.25">
      <c r="A100" s="22">
        <v>45516</v>
      </c>
      <c r="B100">
        <v>13.205</v>
      </c>
    </row>
    <row r="101" spans="1:2" x14ac:dyDescent="0.25">
      <c r="A101" s="22">
        <v>45517</v>
      </c>
      <c r="B101">
        <v>13.234999999999999</v>
      </c>
    </row>
    <row r="102" spans="1:2" x14ac:dyDescent="0.25">
      <c r="A102" s="22">
        <v>45518</v>
      </c>
      <c r="B102">
        <v>13.305</v>
      </c>
    </row>
    <row r="103" spans="1:2" x14ac:dyDescent="0.25">
      <c r="A103" s="22">
        <v>45519</v>
      </c>
      <c r="B103">
        <v>13.465</v>
      </c>
    </row>
    <row r="104" spans="1:2" x14ac:dyDescent="0.25">
      <c r="A104" s="22">
        <v>45520</v>
      </c>
      <c r="B104">
        <v>13.51</v>
      </c>
    </row>
    <row r="105" spans="1:2" x14ac:dyDescent="0.25">
      <c r="A105" s="22">
        <v>45523</v>
      </c>
      <c r="B105">
        <v>13.56</v>
      </c>
    </row>
    <row r="106" spans="1:2" x14ac:dyDescent="0.25">
      <c r="A106" s="22">
        <v>45524</v>
      </c>
      <c r="B106">
        <v>13.53</v>
      </c>
    </row>
    <row r="107" spans="1:2" x14ac:dyDescent="0.25">
      <c r="A107" s="22">
        <v>45525</v>
      </c>
      <c r="B107">
        <v>13.58</v>
      </c>
    </row>
    <row r="108" spans="1:2" x14ac:dyDescent="0.25">
      <c r="A108" s="22">
        <v>45526</v>
      </c>
      <c r="B108">
        <v>13.6</v>
      </c>
    </row>
    <row r="109" spans="1:2" x14ac:dyDescent="0.25">
      <c r="A109" s="22">
        <v>45527</v>
      </c>
      <c r="B109">
        <v>13.715</v>
      </c>
    </row>
    <row r="110" spans="1:2" x14ac:dyDescent="0.25">
      <c r="A110" s="22">
        <v>45530</v>
      </c>
      <c r="B110">
        <v>13.695</v>
      </c>
    </row>
    <row r="111" spans="1:2" x14ac:dyDescent="0.25">
      <c r="A111" s="22">
        <v>45531</v>
      </c>
      <c r="B111">
        <v>13.72</v>
      </c>
    </row>
    <row r="112" spans="1:2" x14ac:dyDescent="0.25">
      <c r="A112" s="22">
        <v>45532</v>
      </c>
      <c r="B112">
        <v>13.755000000000001</v>
      </c>
    </row>
    <row r="113" spans="1:2" x14ac:dyDescent="0.25">
      <c r="A113" s="22">
        <v>45533</v>
      </c>
      <c r="B113">
        <v>13.8</v>
      </c>
    </row>
    <row r="114" spans="1:2" x14ac:dyDescent="0.25">
      <c r="A114" s="22">
        <v>45534</v>
      </c>
      <c r="B114">
        <v>14.154999999999999</v>
      </c>
    </row>
    <row r="115" spans="1:2" x14ac:dyDescent="0.25">
      <c r="A115" s="22">
        <v>45537</v>
      </c>
      <c r="B115">
        <v>14.145</v>
      </c>
    </row>
    <row r="116" spans="1:2" x14ac:dyDescent="0.25">
      <c r="A116" s="22">
        <v>45538</v>
      </c>
      <c r="B116">
        <v>14.01</v>
      </c>
    </row>
    <row r="117" spans="1:2" x14ac:dyDescent="0.25">
      <c r="A117" s="22">
        <v>45539</v>
      </c>
      <c r="B117">
        <v>14.03</v>
      </c>
    </row>
    <row r="118" spans="1:2" x14ac:dyDescent="0.25">
      <c r="A118" s="22">
        <v>45540</v>
      </c>
      <c r="B118">
        <v>14.205</v>
      </c>
    </row>
    <row r="119" spans="1:2" x14ac:dyDescent="0.25">
      <c r="A119" s="22">
        <v>45541</v>
      </c>
      <c r="B119">
        <v>14.13</v>
      </c>
    </row>
    <row r="120" spans="1:2" x14ac:dyDescent="0.25">
      <c r="A120" s="22">
        <v>45544</v>
      </c>
      <c r="B120">
        <v>14.275</v>
      </c>
    </row>
    <row r="121" spans="1:2" x14ac:dyDescent="0.25">
      <c r="A121" s="22">
        <v>45545</v>
      </c>
      <c r="B121">
        <v>14.16</v>
      </c>
    </row>
    <row r="122" spans="1:2" x14ac:dyDescent="0.25">
      <c r="A122" s="22">
        <v>45546</v>
      </c>
      <c r="B122">
        <v>14.19</v>
      </c>
    </row>
    <row r="123" spans="1:2" x14ac:dyDescent="0.25">
      <c r="A123" s="22">
        <v>45547</v>
      </c>
      <c r="B123">
        <v>14.275</v>
      </c>
    </row>
    <row r="124" spans="1:2" x14ac:dyDescent="0.25">
      <c r="A124" s="22">
        <v>45548</v>
      </c>
      <c r="B124">
        <v>14.234999999999999</v>
      </c>
    </row>
    <row r="125" spans="1:2" x14ac:dyDescent="0.25">
      <c r="A125" s="22">
        <v>45551</v>
      </c>
      <c r="B125">
        <v>14.26</v>
      </c>
    </row>
    <row r="126" spans="1:2" x14ac:dyDescent="0.25">
      <c r="A126" s="22">
        <v>45552</v>
      </c>
      <c r="B126">
        <v>14.365</v>
      </c>
    </row>
    <row r="127" spans="1:2" x14ac:dyDescent="0.25">
      <c r="A127" s="22">
        <v>45553</v>
      </c>
      <c r="B127">
        <v>14.4</v>
      </c>
    </row>
    <row r="128" spans="1:2" x14ac:dyDescent="0.25">
      <c r="A128" s="22">
        <v>45554</v>
      </c>
      <c r="B128">
        <v>14.4</v>
      </c>
    </row>
    <row r="129" spans="1:2" x14ac:dyDescent="0.25">
      <c r="A129" s="22">
        <v>45555</v>
      </c>
      <c r="B129">
        <v>14.46</v>
      </c>
    </row>
    <row r="130" spans="1:2" x14ac:dyDescent="0.25">
      <c r="A130" s="22">
        <v>45558</v>
      </c>
      <c r="B130">
        <v>13.815</v>
      </c>
    </row>
    <row r="131" spans="1:2" x14ac:dyDescent="0.25">
      <c r="A131" s="22">
        <v>45559</v>
      </c>
      <c r="B131">
        <v>13.955</v>
      </c>
    </row>
    <row r="132" spans="1:2" x14ac:dyDescent="0.25">
      <c r="A132" s="22">
        <v>45560</v>
      </c>
      <c r="B132">
        <v>13.81</v>
      </c>
    </row>
    <row r="133" spans="1:2" x14ac:dyDescent="0.25">
      <c r="A133" s="22">
        <v>45561</v>
      </c>
      <c r="B133">
        <v>13.994999999999999</v>
      </c>
    </row>
    <row r="134" spans="1:2" x14ac:dyDescent="0.25">
      <c r="A134" s="22">
        <v>45562</v>
      </c>
      <c r="B134">
        <v>13.96</v>
      </c>
    </row>
    <row r="135" spans="1:2" x14ac:dyDescent="0.25">
      <c r="A135" s="22">
        <v>45565</v>
      </c>
      <c r="B135">
        <v>13.725</v>
      </c>
    </row>
    <row r="136" spans="1:2" x14ac:dyDescent="0.25">
      <c r="A136" s="22">
        <v>45566</v>
      </c>
      <c r="B136">
        <v>13.664999999999999</v>
      </c>
    </row>
    <row r="137" spans="1:2" x14ac:dyDescent="0.25">
      <c r="A137" s="22">
        <v>45567</v>
      </c>
      <c r="B137">
        <v>13.595000000000001</v>
      </c>
    </row>
    <row r="138" spans="1:2" x14ac:dyDescent="0.25">
      <c r="A138" s="22">
        <v>45568</v>
      </c>
      <c r="B138">
        <v>13.475</v>
      </c>
    </row>
    <row r="139" spans="1:2" x14ac:dyDescent="0.25">
      <c r="A139" s="22">
        <v>45569</v>
      </c>
      <c r="B139">
        <v>13.61</v>
      </c>
    </row>
    <row r="140" spans="1:2" x14ac:dyDescent="0.25">
      <c r="A140" s="22">
        <v>45572</v>
      </c>
      <c r="B140">
        <v>13.78</v>
      </c>
    </row>
    <row r="141" spans="1:2" x14ac:dyDescent="0.25">
      <c r="A141" s="22">
        <v>45573</v>
      </c>
      <c r="B141">
        <v>13.86</v>
      </c>
    </row>
    <row r="142" spans="1:2" x14ac:dyDescent="0.25">
      <c r="A142" s="22">
        <v>45574</v>
      </c>
      <c r="B142">
        <v>13.94</v>
      </c>
    </row>
    <row r="143" spans="1:2" x14ac:dyDescent="0.25">
      <c r="A143" s="22">
        <v>45575</v>
      </c>
      <c r="B143">
        <v>13.875</v>
      </c>
    </row>
    <row r="144" spans="1:2" x14ac:dyDescent="0.25">
      <c r="A144" s="22">
        <v>45576</v>
      </c>
      <c r="B144">
        <v>13.81</v>
      </c>
    </row>
    <row r="145" spans="1:2" x14ac:dyDescent="0.25">
      <c r="A145" s="22">
        <v>45579</v>
      </c>
      <c r="B145">
        <v>13.88</v>
      </c>
    </row>
    <row r="146" spans="1:2" x14ac:dyDescent="0.25">
      <c r="A146" s="22">
        <v>45580</v>
      </c>
      <c r="B146">
        <v>14.015000000000001</v>
      </c>
    </row>
    <row r="147" spans="1:2" x14ac:dyDescent="0.25">
      <c r="A147" s="22">
        <v>45581</v>
      </c>
      <c r="B147">
        <v>14.06</v>
      </c>
    </row>
    <row r="148" spans="1:2" x14ac:dyDescent="0.25">
      <c r="A148" s="22">
        <v>45582</v>
      </c>
      <c r="B148">
        <v>14.265000000000001</v>
      </c>
    </row>
    <row r="149" spans="1:2" x14ac:dyDescent="0.25">
      <c r="A149" s="22">
        <v>45583</v>
      </c>
      <c r="B149">
        <v>14.315</v>
      </c>
    </row>
    <row r="150" spans="1:2" x14ac:dyDescent="0.25">
      <c r="A150" s="22">
        <v>45586</v>
      </c>
      <c r="B150">
        <v>14.27</v>
      </c>
    </row>
    <row r="151" spans="1:2" x14ac:dyDescent="0.25">
      <c r="A151" s="22">
        <v>45587</v>
      </c>
      <c r="B151">
        <v>14.16</v>
      </c>
    </row>
    <row r="152" spans="1:2" x14ac:dyDescent="0.25">
      <c r="A152" s="22">
        <v>45588</v>
      </c>
      <c r="B152">
        <v>14.1</v>
      </c>
    </row>
    <row r="153" spans="1:2" x14ac:dyDescent="0.25">
      <c r="A153" s="22">
        <v>45589</v>
      </c>
      <c r="B153">
        <v>14.065</v>
      </c>
    </row>
    <row r="154" spans="1:2" x14ac:dyDescent="0.25">
      <c r="A154" s="22">
        <v>45590</v>
      </c>
      <c r="B154">
        <v>14</v>
      </c>
    </row>
    <row r="155" spans="1:2" x14ac:dyDescent="0.25">
      <c r="A155" s="22">
        <v>45593</v>
      </c>
      <c r="B155">
        <v>14.105</v>
      </c>
    </row>
    <row r="156" spans="1:2" x14ac:dyDescent="0.25">
      <c r="A156" s="22">
        <v>45594</v>
      </c>
      <c r="B156">
        <v>14.12</v>
      </c>
    </row>
    <row r="157" spans="1:2" x14ac:dyDescent="0.25">
      <c r="A157" s="22">
        <v>45595</v>
      </c>
      <c r="B157">
        <v>13.984999999999999</v>
      </c>
    </row>
    <row r="158" spans="1:2" x14ac:dyDescent="0.25">
      <c r="A158" s="22">
        <v>45596</v>
      </c>
      <c r="B158">
        <v>14.085000000000001</v>
      </c>
    </row>
    <row r="159" spans="1:2" x14ac:dyDescent="0.25">
      <c r="A159" s="22">
        <v>45597</v>
      </c>
      <c r="B159">
        <v>14.13</v>
      </c>
    </row>
    <row r="160" spans="1:2" x14ac:dyDescent="0.25">
      <c r="A160" s="22">
        <v>45600</v>
      </c>
      <c r="B160">
        <v>14.26</v>
      </c>
    </row>
    <row r="161" spans="1:2" x14ac:dyDescent="0.25">
      <c r="A161" s="22">
        <v>45601</v>
      </c>
      <c r="B161">
        <v>14.31</v>
      </c>
    </row>
    <row r="162" spans="1:2" x14ac:dyDescent="0.25">
      <c r="A162" s="22">
        <v>45602</v>
      </c>
      <c r="B162">
        <v>13.77</v>
      </c>
    </row>
    <row r="163" spans="1:2" x14ac:dyDescent="0.25">
      <c r="A163" s="22">
        <v>45603</v>
      </c>
      <c r="B163">
        <v>13.275</v>
      </c>
    </row>
    <row r="164" spans="1:2" x14ac:dyDescent="0.25">
      <c r="A164" s="22">
        <v>45604</v>
      </c>
      <c r="B164">
        <v>13.19</v>
      </c>
    </row>
    <row r="165" spans="1:2" x14ac:dyDescent="0.25">
      <c r="A165" s="22">
        <v>45607</v>
      </c>
      <c r="B165">
        <v>13.29</v>
      </c>
    </row>
    <row r="166" spans="1:2" x14ac:dyDescent="0.25">
      <c r="A166" s="22">
        <v>45608</v>
      </c>
      <c r="B166">
        <v>13.115</v>
      </c>
    </row>
    <row r="167" spans="1:2" x14ac:dyDescent="0.25">
      <c r="A167" s="22">
        <v>45609</v>
      </c>
      <c r="B167">
        <v>13.02</v>
      </c>
    </row>
    <row r="168" spans="1:2" x14ac:dyDescent="0.25">
      <c r="A168" s="22">
        <v>45610</v>
      </c>
      <c r="B168">
        <v>13.11</v>
      </c>
    </row>
    <row r="169" spans="1:2" x14ac:dyDescent="0.25">
      <c r="A169" s="22">
        <v>45611</v>
      </c>
      <c r="B169">
        <v>13.275</v>
      </c>
    </row>
    <row r="170" spans="1:2" x14ac:dyDescent="0.25">
      <c r="A170" s="22">
        <v>45614</v>
      </c>
      <c r="B170">
        <v>13.425000000000001</v>
      </c>
    </row>
    <row r="171" spans="1:2" x14ac:dyDescent="0.25">
      <c r="A171" s="22">
        <v>45615</v>
      </c>
      <c r="B171">
        <v>13.355</v>
      </c>
    </row>
    <row r="172" spans="1:2" x14ac:dyDescent="0.25">
      <c r="A172" s="22">
        <v>45616</v>
      </c>
      <c r="B172">
        <v>13.27</v>
      </c>
    </row>
    <row r="173" spans="1:2" x14ac:dyDescent="0.25">
      <c r="A173" s="22">
        <v>45617</v>
      </c>
      <c r="B173">
        <v>13.27</v>
      </c>
    </row>
    <row r="174" spans="1:2" x14ac:dyDescent="0.25">
      <c r="A174" s="22">
        <v>45618</v>
      </c>
      <c r="B174">
        <v>13.05</v>
      </c>
    </row>
    <row r="175" spans="1:2" x14ac:dyDescent="0.25">
      <c r="A175" s="22">
        <v>45621</v>
      </c>
      <c r="B175">
        <v>12.925000000000001</v>
      </c>
    </row>
    <row r="176" spans="1:2" x14ac:dyDescent="0.25">
      <c r="A176" s="22">
        <v>45622</v>
      </c>
      <c r="B176">
        <v>12.69</v>
      </c>
    </row>
    <row r="177" spans="1:2" x14ac:dyDescent="0.25">
      <c r="A177" s="22">
        <v>45623</v>
      </c>
      <c r="B177">
        <v>12.52</v>
      </c>
    </row>
    <row r="178" spans="1:2" x14ac:dyDescent="0.25">
      <c r="A178" s="22">
        <v>45624</v>
      </c>
      <c r="B178">
        <v>12.574999999999999</v>
      </c>
    </row>
    <row r="179" spans="1:2" x14ac:dyDescent="0.25">
      <c r="A179" s="22">
        <v>45625</v>
      </c>
      <c r="B179">
        <v>12.67</v>
      </c>
    </row>
    <row r="180" spans="1:2" x14ac:dyDescent="0.25">
      <c r="A180" s="22">
        <v>45628</v>
      </c>
      <c r="B180">
        <v>12.56</v>
      </c>
    </row>
    <row r="181" spans="1:2" x14ac:dyDescent="0.25">
      <c r="A181" s="22">
        <v>45629</v>
      </c>
      <c r="B181">
        <v>12.51</v>
      </c>
    </row>
    <row r="182" spans="1:2" x14ac:dyDescent="0.25">
      <c r="A182" s="22">
        <v>45630</v>
      </c>
      <c r="B182">
        <v>12.635</v>
      </c>
    </row>
    <row r="183" spans="1:2" x14ac:dyDescent="0.25">
      <c r="A183" s="22">
        <v>45631</v>
      </c>
      <c r="B183">
        <v>12.925000000000001</v>
      </c>
    </row>
    <row r="184" spans="1:2" x14ac:dyDescent="0.25">
      <c r="A184" s="22">
        <v>45632</v>
      </c>
      <c r="B184">
        <v>13.035</v>
      </c>
    </row>
    <row r="185" spans="1:2" x14ac:dyDescent="0.25">
      <c r="A185" s="22">
        <v>45635</v>
      </c>
      <c r="B185">
        <v>13.12</v>
      </c>
    </row>
    <row r="186" spans="1:2" x14ac:dyDescent="0.25">
      <c r="A186" s="22">
        <v>45636</v>
      </c>
      <c r="B186">
        <v>13.18</v>
      </c>
    </row>
    <row r="187" spans="1:2" x14ac:dyDescent="0.25">
      <c r="A187" s="22">
        <v>45637</v>
      </c>
      <c r="B187">
        <v>13.19</v>
      </c>
    </row>
    <row r="188" spans="1:2" x14ac:dyDescent="0.25">
      <c r="A188" s="22">
        <v>45638</v>
      </c>
      <c r="B188">
        <v>13.145</v>
      </c>
    </row>
    <row r="189" spans="1:2" x14ac:dyDescent="0.25">
      <c r="A189" s="22">
        <v>45639</v>
      </c>
      <c r="B189">
        <v>13.164999999999999</v>
      </c>
    </row>
    <row r="190" spans="1:2" x14ac:dyDescent="0.25">
      <c r="A190" s="22">
        <v>45642</v>
      </c>
      <c r="B190">
        <v>13.16</v>
      </c>
    </row>
    <row r="191" spans="1:2" x14ac:dyDescent="0.25">
      <c r="A191" s="22">
        <v>45643</v>
      </c>
      <c r="B191">
        <v>13.05</v>
      </c>
    </row>
    <row r="192" spans="1:2" x14ac:dyDescent="0.25">
      <c r="A192" s="22">
        <v>45644</v>
      </c>
      <c r="B192">
        <v>13.115</v>
      </c>
    </row>
    <row r="193" spans="1:2" x14ac:dyDescent="0.25">
      <c r="A193" s="22">
        <v>45645</v>
      </c>
      <c r="B193">
        <v>13.07</v>
      </c>
    </row>
    <row r="194" spans="1:2" x14ac:dyDescent="0.25">
      <c r="A194" s="22">
        <v>45646</v>
      </c>
      <c r="B194">
        <v>13.01</v>
      </c>
    </row>
    <row r="195" spans="1:2" x14ac:dyDescent="0.25">
      <c r="A195" s="22">
        <v>45649</v>
      </c>
      <c r="B195">
        <v>13.025</v>
      </c>
    </row>
    <row r="196" spans="1:2" x14ac:dyDescent="0.25">
      <c r="A196" s="22">
        <v>45650</v>
      </c>
      <c r="B196">
        <v>12.91</v>
      </c>
    </row>
    <row r="197" spans="1:2" x14ac:dyDescent="0.25">
      <c r="A197" s="22">
        <v>45653</v>
      </c>
      <c r="B197">
        <v>13.225</v>
      </c>
    </row>
    <row r="198" spans="1:2" x14ac:dyDescent="0.25">
      <c r="A198" s="22">
        <v>45656</v>
      </c>
      <c r="B198">
        <v>13.305</v>
      </c>
    </row>
    <row r="199" spans="1:2" x14ac:dyDescent="0.25">
      <c r="A199" s="22">
        <v>45657</v>
      </c>
      <c r="B199">
        <v>13.29</v>
      </c>
    </row>
    <row r="200" spans="1:2" x14ac:dyDescent="0.25">
      <c r="A200" s="22">
        <v>45659</v>
      </c>
      <c r="B200">
        <v>13.34</v>
      </c>
    </row>
    <row r="201" spans="1:2" x14ac:dyDescent="0.25">
      <c r="A201" s="22">
        <v>45660</v>
      </c>
      <c r="B201">
        <v>13.215</v>
      </c>
    </row>
    <row r="202" spans="1:2" x14ac:dyDescent="0.25">
      <c r="A202" s="22">
        <v>45663</v>
      </c>
      <c r="B202">
        <v>13.36</v>
      </c>
    </row>
    <row r="203" spans="1:2" x14ac:dyDescent="0.25">
      <c r="A203" s="22">
        <v>45664</v>
      </c>
      <c r="B203">
        <v>13.385</v>
      </c>
    </row>
    <row r="204" spans="1:2" x14ac:dyDescent="0.25">
      <c r="A204" s="22">
        <v>45665</v>
      </c>
      <c r="B204">
        <v>13.36</v>
      </c>
    </row>
    <row r="205" spans="1:2" x14ac:dyDescent="0.25">
      <c r="A205" s="22">
        <v>45666</v>
      </c>
      <c r="B205">
        <v>13.435</v>
      </c>
    </row>
    <row r="206" spans="1:2" x14ac:dyDescent="0.25">
      <c r="A206" s="22">
        <v>45667</v>
      </c>
      <c r="B206">
        <v>13.375</v>
      </c>
    </row>
    <row r="207" spans="1:2" x14ac:dyDescent="0.25">
      <c r="A207" s="22">
        <v>45670</v>
      </c>
      <c r="B207">
        <v>13.42</v>
      </c>
    </row>
    <row r="208" spans="1:2" x14ac:dyDescent="0.25">
      <c r="A208" s="22">
        <v>45671</v>
      </c>
      <c r="B208">
        <v>13.65</v>
      </c>
    </row>
    <row r="209" spans="1:2" x14ac:dyDescent="0.25">
      <c r="A209" s="22">
        <v>45672</v>
      </c>
      <c r="B209">
        <v>13.865</v>
      </c>
    </row>
    <row r="210" spans="1:2" x14ac:dyDescent="0.25">
      <c r="A210" s="22">
        <v>45673</v>
      </c>
      <c r="B210">
        <v>13.935</v>
      </c>
    </row>
    <row r="211" spans="1:2" x14ac:dyDescent="0.25">
      <c r="A211" s="22">
        <v>45674</v>
      </c>
      <c r="B211">
        <v>13.98</v>
      </c>
    </row>
    <row r="212" spans="1:2" x14ac:dyDescent="0.25">
      <c r="A212" s="22">
        <v>45677</v>
      </c>
      <c r="B212">
        <v>14.175000000000001</v>
      </c>
    </row>
    <row r="213" spans="1:2" x14ac:dyDescent="0.25">
      <c r="A213" s="22">
        <v>45678</v>
      </c>
      <c r="B213">
        <v>14.17</v>
      </c>
    </row>
    <row r="214" spans="1:2" x14ac:dyDescent="0.25">
      <c r="A214" s="22">
        <v>45679</v>
      </c>
      <c r="B214">
        <v>14.065</v>
      </c>
    </row>
    <row r="215" spans="1:2" x14ac:dyDescent="0.25">
      <c r="A215" s="22">
        <v>45680</v>
      </c>
      <c r="B215">
        <v>14.244999999999999</v>
      </c>
    </row>
    <row r="216" spans="1:2" x14ac:dyDescent="0.25">
      <c r="A216" s="22">
        <v>45681</v>
      </c>
      <c r="B216">
        <v>14.225</v>
      </c>
    </row>
    <row r="217" spans="1:2" x14ac:dyDescent="0.25">
      <c r="A217" s="22">
        <v>45684</v>
      </c>
      <c r="B217">
        <v>14.29</v>
      </c>
    </row>
    <row r="218" spans="1:2" x14ac:dyDescent="0.25">
      <c r="A218" s="22">
        <v>45685</v>
      </c>
      <c r="B218">
        <v>14.404999999999999</v>
      </c>
    </row>
    <row r="219" spans="1:2" x14ac:dyDescent="0.25">
      <c r="A219" s="22">
        <v>45686</v>
      </c>
      <c r="B219">
        <v>14.47</v>
      </c>
    </row>
    <row r="220" spans="1:2" x14ac:dyDescent="0.25">
      <c r="A220" s="22">
        <v>45687</v>
      </c>
      <c r="B220">
        <v>14.58</v>
      </c>
    </row>
    <row r="221" spans="1:2" x14ac:dyDescent="0.25">
      <c r="A221" s="22">
        <v>45688</v>
      </c>
      <c r="B221">
        <v>14.545</v>
      </c>
    </row>
    <row r="222" spans="1:2" x14ac:dyDescent="0.25">
      <c r="A222" s="22">
        <v>45691</v>
      </c>
      <c r="B222">
        <v>14.41</v>
      </c>
    </row>
    <row r="223" spans="1:2" x14ac:dyDescent="0.25">
      <c r="A223" s="22">
        <v>45692</v>
      </c>
      <c r="B223">
        <v>14.555</v>
      </c>
    </row>
    <row r="224" spans="1:2" x14ac:dyDescent="0.25">
      <c r="A224" s="22">
        <v>45693</v>
      </c>
      <c r="B224">
        <v>14.675000000000001</v>
      </c>
    </row>
    <row r="225" spans="1:2" x14ac:dyDescent="0.25">
      <c r="A225" s="22">
        <v>45694</v>
      </c>
      <c r="B225">
        <v>14.955</v>
      </c>
    </row>
    <row r="226" spans="1:2" x14ac:dyDescent="0.25">
      <c r="A226" s="22">
        <v>45695</v>
      </c>
      <c r="B226">
        <v>15.14</v>
      </c>
    </row>
    <row r="227" spans="1:2" x14ac:dyDescent="0.25">
      <c r="A227" s="22">
        <v>45698</v>
      </c>
      <c r="B227">
        <v>15.1</v>
      </c>
    </row>
    <row r="228" spans="1:2" x14ac:dyDescent="0.25">
      <c r="A228" s="22">
        <v>45699</v>
      </c>
      <c r="B228">
        <v>15.305</v>
      </c>
    </row>
    <row r="229" spans="1:2" x14ac:dyDescent="0.25">
      <c r="A229" s="22">
        <v>45700</v>
      </c>
      <c r="B229">
        <v>15.335000000000001</v>
      </c>
    </row>
    <row r="230" spans="1:2" x14ac:dyDescent="0.25">
      <c r="A230" s="22">
        <v>45701</v>
      </c>
      <c r="B230">
        <v>15.18</v>
      </c>
    </row>
    <row r="231" spans="1:2" x14ac:dyDescent="0.25">
      <c r="A231" s="22">
        <v>45702</v>
      </c>
      <c r="B231">
        <v>15.28</v>
      </c>
    </row>
    <row r="232" spans="1:2" x14ac:dyDescent="0.25">
      <c r="A232" s="22">
        <v>45705</v>
      </c>
      <c r="B232">
        <v>15.335000000000001</v>
      </c>
    </row>
    <row r="233" spans="1:2" x14ac:dyDescent="0.25">
      <c r="A233" s="22">
        <v>45706</v>
      </c>
      <c r="B233">
        <v>15.565</v>
      </c>
    </row>
    <row r="234" spans="1:2" x14ac:dyDescent="0.25">
      <c r="A234" s="22">
        <v>45707</v>
      </c>
      <c r="B234">
        <v>15.49</v>
      </c>
    </row>
    <row r="235" spans="1:2" x14ac:dyDescent="0.25">
      <c r="A235" s="22">
        <v>45708</v>
      </c>
      <c r="B235">
        <v>15.52</v>
      </c>
    </row>
    <row r="236" spans="1:2" x14ac:dyDescent="0.25">
      <c r="A236" s="22">
        <v>45709</v>
      </c>
      <c r="B236">
        <v>15.64</v>
      </c>
    </row>
    <row r="237" spans="1:2" x14ac:dyDescent="0.25">
      <c r="A237" s="22">
        <v>45712</v>
      </c>
      <c r="B237">
        <v>15.63</v>
      </c>
    </row>
    <row r="238" spans="1:2" x14ac:dyDescent="0.25">
      <c r="A238" s="22">
        <v>45713</v>
      </c>
      <c r="B238">
        <v>15.725</v>
      </c>
    </row>
    <row r="239" spans="1:2" x14ac:dyDescent="0.25">
      <c r="A239" s="22">
        <v>45714</v>
      </c>
      <c r="B239">
        <v>15.94</v>
      </c>
    </row>
    <row r="240" spans="1:2" x14ac:dyDescent="0.25">
      <c r="A240" s="22">
        <v>45715</v>
      </c>
      <c r="B240">
        <v>15.99</v>
      </c>
    </row>
    <row r="241" spans="1:2" x14ac:dyDescent="0.25">
      <c r="A241" s="22">
        <v>45716</v>
      </c>
      <c r="B241">
        <v>16.010000000000002</v>
      </c>
    </row>
    <row r="242" spans="1:2" x14ac:dyDescent="0.25">
      <c r="A242" s="22">
        <v>45719</v>
      </c>
      <c r="B242">
        <v>16.13</v>
      </c>
    </row>
    <row r="243" spans="1:2" x14ac:dyDescent="0.25">
      <c r="A243" s="22">
        <v>45720</v>
      </c>
      <c r="B243">
        <v>15.8</v>
      </c>
    </row>
    <row r="244" spans="1:2" x14ac:dyDescent="0.25">
      <c r="A244" s="22">
        <v>45721</v>
      </c>
      <c r="B244">
        <v>16.28</v>
      </c>
    </row>
    <row r="245" spans="1:2" x14ac:dyDescent="0.25">
      <c r="A245" s="22">
        <v>45722</v>
      </c>
      <c r="B245">
        <v>16.579999999999998</v>
      </c>
    </row>
    <row r="246" spans="1:2" x14ac:dyDescent="0.25">
      <c r="A246" s="22">
        <v>45723</v>
      </c>
      <c r="B246">
        <v>16.574999999999999</v>
      </c>
    </row>
    <row r="247" spans="1:2" x14ac:dyDescent="0.25">
      <c r="A247" s="22">
        <v>45726</v>
      </c>
      <c r="B247">
        <v>16.3</v>
      </c>
    </row>
    <row r="248" spans="1:2" x14ac:dyDescent="0.25">
      <c r="A248" s="22">
        <v>45727</v>
      </c>
      <c r="B248">
        <v>16.114999999999998</v>
      </c>
    </row>
    <row r="249" spans="1:2" x14ac:dyDescent="0.25">
      <c r="A249" s="22">
        <v>45728</v>
      </c>
      <c r="B249">
        <v>16.204999999999998</v>
      </c>
    </row>
    <row r="250" spans="1:2" x14ac:dyDescent="0.25">
      <c r="A250" s="22">
        <v>45729</v>
      </c>
      <c r="B250">
        <v>16.155000000000001</v>
      </c>
    </row>
    <row r="251" spans="1:2" x14ac:dyDescent="0.25">
      <c r="A251" s="22">
        <v>45730</v>
      </c>
      <c r="B251">
        <v>16.34</v>
      </c>
    </row>
    <row r="252" spans="1:2" x14ac:dyDescent="0.25">
      <c r="A252" s="22">
        <v>45733</v>
      </c>
      <c r="B252">
        <v>16.545000000000002</v>
      </c>
    </row>
    <row r="253" spans="1:2" x14ac:dyDescent="0.25">
      <c r="A253" s="22">
        <v>45734</v>
      </c>
      <c r="B253">
        <v>16.8</v>
      </c>
    </row>
    <row r="254" spans="1:2" x14ac:dyDescent="0.25">
      <c r="A254" s="22">
        <v>45735</v>
      </c>
      <c r="B254">
        <v>16.98</v>
      </c>
    </row>
    <row r="255" spans="1:2" x14ac:dyDescent="0.25">
      <c r="A255" s="22">
        <v>45736</v>
      </c>
      <c r="B255">
        <v>16.850000000000001</v>
      </c>
    </row>
    <row r="256" spans="1:2" x14ac:dyDescent="0.25">
      <c r="A256" s="22">
        <v>45737</v>
      </c>
      <c r="B256">
        <v>16.805</v>
      </c>
    </row>
    <row r="257" spans="1:2" x14ac:dyDescent="0.25">
      <c r="A257" s="22">
        <v>45740</v>
      </c>
      <c r="B257">
        <v>16.850000000000001</v>
      </c>
    </row>
    <row r="258" spans="1:2" x14ac:dyDescent="0.25">
      <c r="A258" s="22">
        <v>45741</v>
      </c>
      <c r="B258">
        <v>17.295000000000002</v>
      </c>
    </row>
    <row r="259" spans="1:2" x14ac:dyDescent="0.25">
      <c r="A259" s="22">
        <v>45742</v>
      </c>
      <c r="B259">
        <v>17.135000000000002</v>
      </c>
    </row>
    <row r="260" spans="1:2" x14ac:dyDescent="0.25">
      <c r="A260" s="22">
        <v>45743</v>
      </c>
      <c r="B260">
        <v>17.09</v>
      </c>
    </row>
    <row r="261" spans="1:2" x14ac:dyDescent="0.25">
      <c r="A261" s="22">
        <v>45744</v>
      </c>
      <c r="B261">
        <v>16.945</v>
      </c>
    </row>
    <row r="262" spans="1:2" x14ac:dyDescent="0.25">
      <c r="A262" s="22">
        <v>45747</v>
      </c>
      <c r="B262">
        <v>16.774999999999999</v>
      </c>
    </row>
    <row r="263" spans="1:2" x14ac:dyDescent="0.25">
      <c r="A263" s="22">
        <v>45748</v>
      </c>
      <c r="B263">
        <v>17.010000000000002</v>
      </c>
    </row>
    <row r="264" spans="1:2" x14ac:dyDescent="0.25">
      <c r="A264" s="22">
        <v>45749</v>
      </c>
      <c r="B264">
        <v>17.035</v>
      </c>
    </row>
    <row r="265" spans="1:2" x14ac:dyDescent="0.25">
      <c r="A265" s="22">
        <v>45750</v>
      </c>
      <c r="B265">
        <v>16.47</v>
      </c>
    </row>
    <row r="266" spans="1:2" x14ac:dyDescent="0.25">
      <c r="A266" s="22">
        <v>45751</v>
      </c>
      <c r="B266">
        <v>15.734999999999999</v>
      </c>
    </row>
    <row r="267" spans="1:2" x14ac:dyDescent="0.25">
      <c r="A267" s="22">
        <v>45754</v>
      </c>
      <c r="B267">
        <v>15.175000000000001</v>
      </c>
    </row>
    <row r="268" spans="1:2" x14ac:dyDescent="0.25">
      <c r="A268" s="22">
        <v>45755</v>
      </c>
      <c r="B268">
        <v>15.17</v>
      </c>
    </row>
    <row r="269" spans="1:2" x14ac:dyDescent="0.25">
      <c r="A269" s="22">
        <v>45756</v>
      </c>
      <c r="B269">
        <v>14.975</v>
      </c>
    </row>
    <row r="270" spans="1:2" x14ac:dyDescent="0.25">
      <c r="A270" s="22">
        <v>45757</v>
      </c>
      <c r="B270">
        <v>15.285</v>
      </c>
    </row>
    <row r="271" spans="1:2" x14ac:dyDescent="0.25">
      <c r="A271" s="22">
        <v>45758</v>
      </c>
      <c r="B271">
        <v>15.41</v>
      </c>
    </row>
    <row r="272" spans="1:2" x14ac:dyDescent="0.25">
      <c r="A272" s="22">
        <v>45761</v>
      </c>
      <c r="B272">
        <v>15.755000000000001</v>
      </c>
    </row>
    <row r="273" spans="1:2" x14ac:dyDescent="0.25">
      <c r="A273" s="22">
        <v>45762</v>
      </c>
      <c r="B273">
        <v>16.100000000000001</v>
      </c>
    </row>
    <row r="274" spans="1:2" x14ac:dyDescent="0.25">
      <c r="A274" s="22">
        <v>45763</v>
      </c>
      <c r="B274">
        <v>16.274999999999999</v>
      </c>
    </row>
    <row r="275" spans="1:2" x14ac:dyDescent="0.25">
      <c r="A275" s="22">
        <v>45764</v>
      </c>
      <c r="B275">
        <v>16.285</v>
      </c>
    </row>
    <row r="276" spans="1:2" x14ac:dyDescent="0.25">
      <c r="A276" s="22">
        <v>45769</v>
      </c>
      <c r="B276">
        <v>16.420000000000002</v>
      </c>
    </row>
    <row r="277" spans="1:2" x14ac:dyDescent="0.25">
      <c r="A277" s="22">
        <v>45770</v>
      </c>
      <c r="B277">
        <v>16.690000000000001</v>
      </c>
    </row>
    <row r="278" spans="1:2" x14ac:dyDescent="0.25">
      <c r="A278" s="22">
        <v>45771</v>
      </c>
      <c r="B278">
        <v>16.690000000000001</v>
      </c>
    </row>
    <row r="279" spans="1:2" x14ac:dyDescent="0.25">
      <c r="A279" s="22">
        <v>45772</v>
      </c>
      <c r="B279">
        <v>16.88</v>
      </c>
    </row>
    <row r="280" spans="1:2" x14ac:dyDescent="0.25">
      <c r="A280" s="22">
        <v>45775</v>
      </c>
      <c r="B280">
        <v>17.125</v>
      </c>
    </row>
    <row r="281" spans="1:2" x14ac:dyDescent="0.25">
      <c r="A281" s="22">
        <v>45776</v>
      </c>
      <c r="B281">
        <v>17.25</v>
      </c>
    </row>
    <row r="282" spans="1:2" x14ac:dyDescent="0.25">
      <c r="A282" s="22">
        <v>45777</v>
      </c>
      <c r="B282">
        <v>16.489999999999998</v>
      </c>
    </row>
    <row r="283" spans="1:2" x14ac:dyDescent="0.25">
      <c r="A283" s="22">
        <v>45779</v>
      </c>
      <c r="B283">
        <v>16.504999999999999</v>
      </c>
    </row>
    <row r="284" spans="1:2" x14ac:dyDescent="0.25">
      <c r="A284" s="22">
        <v>45782</v>
      </c>
      <c r="B284">
        <v>16.559999999999999</v>
      </c>
    </row>
    <row r="285" spans="1:2" x14ac:dyDescent="0.25">
      <c r="A285" s="22">
        <v>45783</v>
      </c>
      <c r="B285">
        <v>16.57</v>
      </c>
    </row>
    <row r="286" spans="1:2" x14ac:dyDescent="0.25">
      <c r="A286" s="22">
        <v>45784</v>
      </c>
      <c r="B286">
        <v>16.61</v>
      </c>
    </row>
    <row r="287" spans="1:2" x14ac:dyDescent="0.25">
      <c r="A287" s="22">
        <v>45785</v>
      </c>
      <c r="B287">
        <v>16.77</v>
      </c>
    </row>
    <row r="288" spans="1:2" x14ac:dyDescent="0.25">
      <c r="A288" s="22">
        <v>45786</v>
      </c>
      <c r="B288">
        <v>16.84</v>
      </c>
    </row>
    <row r="289" spans="1:2" x14ac:dyDescent="0.25">
      <c r="A289" s="22">
        <v>45789</v>
      </c>
      <c r="B289">
        <v>17</v>
      </c>
    </row>
    <row r="290" spans="1:2" x14ac:dyDescent="0.25">
      <c r="A290" s="22">
        <v>45790</v>
      </c>
      <c r="B290">
        <v>17.02</v>
      </c>
    </row>
    <row r="291" spans="1:2" x14ac:dyDescent="0.25">
      <c r="A291" s="22">
        <v>45791</v>
      </c>
      <c r="B291">
        <v>17.329999999999998</v>
      </c>
    </row>
    <row r="292" spans="1:2" x14ac:dyDescent="0.25">
      <c r="A292" s="22">
        <v>45792</v>
      </c>
      <c r="B292">
        <v>17.405000000000001</v>
      </c>
    </row>
    <row r="293" spans="1:2" x14ac:dyDescent="0.25">
      <c r="A293" s="22">
        <v>45793</v>
      </c>
      <c r="B293">
        <v>17.34</v>
      </c>
    </row>
    <row r="294" spans="1:2" x14ac:dyDescent="0.25">
      <c r="A294" s="22">
        <v>45796</v>
      </c>
      <c r="B294">
        <v>17.39</v>
      </c>
    </row>
    <row r="295" spans="1:2" x14ac:dyDescent="0.25">
      <c r="A295" s="22">
        <v>45797</v>
      </c>
      <c r="B295">
        <v>17.645</v>
      </c>
    </row>
    <row r="296" spans="1:2" x14ac:dyDescent="0.25">
      <c r="A296" s="22">
        <v>45798</v>
      </c>
      <c r="B296">
        <v>17.600000000000001</v>
      </c>
    </row>
    <row r="297" spans="1:2" x14ac:dyDescent="0.25">
      <c r="A297" s="22">
        <v>45799</v>
      </c>
      <c r="B297">
        <v>17.574999999999999</v>
      </c>
    </row>
    <row r="298" spans="1:2" x14ac:dyDescent="0.25">
      <c r="A298" s="22">
        <v>45800</v>
      </c>
      <c r="B298">
        <v>17.23</v>
      </c>
    </row>
    <row r="299" spans="1:2" x14ac:dyDescent="0.25">
      <c r="A299" s="22">
        <v>45803</v>
      </c>
      <c r="B299">
        <v>16.32</v>
      </c>
    </row>
    <row r="300" spans="1:2" x14ac:dyDescent="0.25">
      <c r="A300" s="22">
        <v>45804</v>
      </c>
      <c r="B300">
        <v>16.29</v>
      </c>
    </row>
    <row r="301" spans="1:2" x14ac:dyDescent="0.25">
      <c r="A301" s="22">
        <v>45805</v>
      </c>
      <c r="B301">
        <v>16.024999999999999</v>
      </c>
    </row>
    <row r="302" spans="1:2" x14ac:dyDescent="0.25">
      <c r="A302" s="22">
        <v>45806</v>
      </c>
      <c r="B302">
        <v>16.094999999999999</v>
      </c>
    </row>
    <row r="303" spans="1:2" x14ac:dyDescent="0.25">
      <c r="A303" s="22">
        <v>45807</v>
      </c>
      <c r="B303">
        <v>16.105</v>
      </c>
    </row>
    <row r="304" spans="1:2" x14ac:dyDescent="0.25">
      <c r="A304" s="22">
        <v>45810</v>
      </c>
      <c r="B304">
        <v>16.149999999999999</v>
      </c>
    </row>
    <row r="305" spans="1:2" x14ac:dyDescent="0.25">
      <c r="A305" s="22">
        <v>45811</v>
      </c>
      <c r="B305">
        <v>16.14</v>
      </c>
    </row>
    <row r="306" spans="1:2" x14ac:dyDescent="0.25">
      <c r="A306" s="22">
        <v>45812</v>
      </c>
      <c r="B306">
        <v>16.105</v>
      </c>
    </row>
    <row r="307" spans="1:2" x14ac:dyDescent="0.25">
      <c r="A307" s="22">
        <v>45813</v>
      </c>
      <c r="B307">
        <v>16.215</v>
      </c>
    </row>
    <row r="308" spans="1:2" x14ac:dyDescent="0.25">
      <c r="A308" s="22">
        <v>45814</v>
      </c>
      <c r="B308">
        <v>16.28</v>
      </c>
    </row>
    <row r="309" spans="1:2" x14ac:dyDescent="0.25">
      <c r="A309" s="22">
        <v>45817</v>
      </c>
      <c r="B309">
        <v>16.489999999999998</v>
      </c>
    </row>
    <row r="310" spans="1:2" x14ac:dyDescent="0.25">
      <c r="A310" s="22">
        <v>45818</v>
      </c>
      <c r="B310">
        <v>15.98</v>
      </c>
    </row>
    <row r="311" spans="1:2" x14ac:dyDescent="0.25">
      <c r="A311" s="22">
        <v>45819</v>
      </c>
      <c r="B311">
        <v>15.895</v>
      </c>
    </row>
    <row r="312" spans="1:2" x14ac:dyDescent="0.25">
      <c r="A312" s="22">
        <v>45820</v>
      </c>
      <c r="B312">
        <v>15.98</v>
      </c>
    </row>
    <row r="313" spans="1:2" x14ac:dyDescent="0.25">
      <c r="A313" s="22">
        <v>45821</v>
      </c>
      <c r="B313">
        <v>15.845000000000001</v>
      </c>
    </row>
    <row r="314" spans="1:2" x14ac:dyDescent="0.25">
      <c r="A314" s="22">
        <v>45824</v>
      </c>
      <c r="B314">
        <v>16.14</v>
      </c>
    </row>
    <row r="315" spans="1:2" x14ac:dyDescent="0.25">
      <c r="A315" s="22">
        <v>45825</v>
      </c>
      <c r="B315">
        <v>15.885</v>
      </c>
    </row>
    <row r="316" spans="1:2" x14ac:dyDescent="0.25">
      <c r="A316" s="22">
        <v>45826</v>
      </c>
      <c r="B316">
        <v>15.914999999999999</v>
      </c>
    </row>
    <row r="317" spans="1:2" x14ac:dyDescent="0.25">
      <c r="A317" s="22">
        <v>45827</v>
      </c>
      <c r="B317">
        <v>15.51</v>
      </c>
    </row>
    <row r="318" spans="1:2" x14ac:dyDescent="0.25">
      <c r="A318" s="22">
        <v>45828</v>
      </c>
      <c r="B318">
        <v>15.585000000000001</v>
      </c>
    </row>
    <row r="319" spans="1:2" x14ac:dyDescent="0.25">
      <c r="A319" s="22">
        <v>45831</v>
      </c>
      <c r="B319">
        <v>15.48</v>
      </c>
    </row>
    <row r="320" spans="1:2" x14ac:dyDescent="0.25">
      <c r="A320" s="22">
        <v>45832</v>
      </c>
      <c r="B320">
        <v>15.805</v>
      </c>
    </row>
    <row r="321" spans="1:2" x14ac:dyDescent="0.25">
      <c r="A321" s="22">
        <v>45833</v>
      </c>
      <c r="B321">
        <v>15.71</v>
      </c>
    </row>
    <row r="322" spans="1:2" x14ac:dyDescent="0.25">
      <c r="A322" s="22">
        <v>45834</v>
      </c>
      <c r="B322">
        <v>15.81</v>
      </c>
    </row>
    <row r="323" spans="1:2" x14ac:dyDescent="0.25">
      <c r="A323" s="22">
        <v>45835</v>
      </c>
      <c r="B323">
        <v>16.015000000000001</v>
      </c>
    </row>
    <row r="324" spans="1:2" x14ac:dyDescent="0.25">
      <c r="A324" s="22">
        <v>45838</v>
      </c>
      <c r="B324">
        <v>16.065000000000001</v>
      </c>
    </row>
    <row r="325" spans="1:2" x14ac:dyDescent="0.25">
      <c r="A325" s="22">
        <v>45839</v>
      </c>
      <c r="B325">
        <v>15.95</v>
      </c>
    </row>
    <row r="326" spans="1:2" x14ac:dyDescent="0.25">
      <c r="A326" s="22">
        <v>45840</v>
      </c>
      <c r="B326">
        <v>16.27</v>
      </c>
    </row>
    <row r="327" spans="1:2" x14ac:dyDescent="0.25">
      <c r="A327" s="22">
        <v>45841</v>
      </c>
      <c r="B327">
        <v>16.149999999999999</v>
      </c>
    </row>
    <row r="328" spans="1:2" x14ac:dyDescent="0.25">
      <c r="A328" s="22">
        <v>45842</v>
      </c>
      <c r="B328">
        <v>15.88</v>
      </c>
    </row>
    <row r="329" spans="1:2" x14ac:dyDescent="0.25">
      <c r="A329" s="22">
        <v>45845</v>
      </c>
      <c r="B329">
        <v>15.94</v>
      </c>
    </row>
    <row r="330" spans="1:2" x14ac:dyDescent="0.25">
      <c r="A330" s="22">
        <v>45846</v>
      </c>
      <c r="B330">
        <v>16.02</v>
      </c>
    </row>
    <row r="331" spans="1:2" x14ac:dyDescent="0.25">
      <c r="A331" s="22">
        <v>45847</v>
      </c>
      <c r="B331">
        <v>16.399999999999999</v>
      </c>
    </row>
    <row r="332" spans="1:2" x14ac:dyDescent="0.25">
      <c r="A332" s="22">
        <v>45848</v>
      </c>
      <c r="B332">
        <v>16.25</v>
      </c>
    </row>
    <row r="333" spans="1:2" x14ac:dyDescent="0.25">
      <c r="A333" s="22">
        <v>45849</v>
      </c>
      <c r="B333">
        <v>16</v>
      </c>
    </row>
    <row r="334" spans="1:2" x14ac:dyDescent="0.25">
      <c r="A334" s="22">
        <v>45852</v>
      </c>
      <c r="B334">
        <v>16.035</v>
      </c>
    </row>
    <row r="335" spans="1:2" x14ac:dyDescent="0.25">
      <c r="A335" s="22">
        <v>45853</v>
      </c>
      <c r="B335">
        <v>15.865</v>
      </c>
    </row>
    <row r="336" spans="1:2" x14ac:dyDescent="0.25">
      <c r="A336" s="22">
        <v>45854</v>
      </c>
      <c r="B336">
        <v>15.84</v>
      </c>
    </row>
    <row r="337" spans="1:2" x14ac:dyDescent="0.25">
      <c r="A337" s="22">
        <v>45855</v>
      </c>
      <c r="B337">
        <v>15.98</v>
      </c>
    </row>
    <row r="338" spans="1:2" x14ac:dyDescent="0.25">
      <c r="A338" s="22">
        <v>45856</v>
      </c>
      <c r="B338">
        <v>16.094999999999999</v>
      </c>
    </row>
    <row r="339" spans="1:2" x14ac:dyDescent="0.25">
      <c r="A339" s="22">
        <v>45859</v>
      </c>
      <c r="B339">
        <v>16.145</v>
      </c>
    </row>
    <row r="340" spans="1:2" x14ac:dyDescent="0.25">
      <c r="A340" s="22">
        <v>45860</v>
      </c>
      <c r="B340">
        <v>16.065000000000001</v>
      </c>
    </row>
    <row r="341" spans="1:2" x14ac:dyDescent="0.25">
      <c r="A341" s="22">
        <v>45861</v>
      </c>
      <c r="B341">
        <v>16.09</v>
      </c>
    </row>
    <row r="342" spans="1:2" x14ac:dyDescent="0.25">
      <c r="A342" s="22">
        <v>45862</v>
      </c>
      <c r="B342">
        <v>16.43</v>
      </c>
    </row>
    <row r="343" spans="1:2" x14ac:dyDescent="0.25">
      <c r="A343" s="22">
        <v>45863</v>
      </c>
      <c r="B343">
        <v>16.32</v>
      </c>
    </row>
    <row r="344" spans="1:2" x14ac:dyDescent="0.25">
      <c r="A344" s="22">
        <v>45866</v>
      </c>
      <c r="B344">
        <v>16.190000000000001</v>
      </c>
    </row>
    <row r="345" spans="1:2" x14ac:dyDescent="0.25">
      <c r="A345" s="22">
        <v>45867</v>
      </c>
      <c r="B345">
        <v>16.215</v>
      </c>
    </row>
    <row r="346" spans="1:2" x14ac:dyDescent="0.25">
      <c r="A346" s="22">
        <v>45868</v>
      </c>
      <c r="B346">
        <v>16.405000000000001</v>
      </c>
    </row>
    <row r="347" spans="1:2" x14ac:dyDescent="0.25">
      <c r="A347" s="22">
        <v>45869</v>
      </c>
      <c r="B347">
        <v>16.149999999999999</v>
      </c>
    </row>
    <row r="348" spans="1:2" x14ac:dyDescent="0.25">
      <c r="A348" s="22">
        <v>45870</v>
      </c>
      <c r="B348">
        <v>15.92</v>
      </c>
    </row>
    <row r="349" spans="1:2" x14ac:dyDescent="0.25">
      <c r="A349" s="22">
        <v>45873</v>
      </c>
      <c r="B349">
        <v>16.055</v>
      </c>
    </row>
    <row r="350" spans="1:2" x14ac:dyDescent="0.25">
      <c r="A350" s="22">
        <v>45874</v>
      </c>
      <c r="B350">
        <v>16.079999999999998</v>
      </c>
    </row>
    <row r="351" spans="1:2" x14ac:dyDescent="0.25">
      <c r="A351" s="22">
        <v>45875</v>
      </c>
      <c r="B351">
        <v>16.28</v>
      </c>
    </row>
    <row r="352" spans="1:2" x14ac:dyDescent="0.25">
      <c r="A352" s="22">
        <v>45876</v>
      </c>
      <c r="B352">
        <v>16.395</v>
      </c>
    </row>
    <row r="353" spans="1:2" x14ac:dyDescent="0.25">
      <c r="A353" s="22">
        <v>45877</v>
      </c>
      <c r="B353">
        <v>16.920000000000002</v>
      </c>
    </row>
    <row r="354" spans="1:2" x14ac:dyDescent="0.25">
      <c r="A354" s="22">
        <v>45880</v>
      </c>
      <c r="B354">
        <v>17.045000000000002</v>
      </c>
    </row>
    <row r="355" spans="1:2" x14ac:dyDescent="0.25">
      <c r="A355" s="22">
        <v>45881</v>
      </c>
      <c r="B355">
        <v>17</v>
      </c>
    </row>
    <row r="356" spans="1:2" x14ac:dyDescent="0.25">
      <c r="A356" s="22">
        <v>45882</v>
      </c>
      <c r="B356">
        <v>17.03</v>
      </c>
    </row>
    <row r="357" spans="1:2" x14ac:dyDescent="0.25">
      <c r="A357" s="22">
        <v>45883</v>
      </c>
      <c r="B357">
        <v>17.135000000000002</v>
      </c>
    </row>
    <row r="358" spans="1:2" x14ac:dyDescent="0.25">
      <c r="A358" s="22">
        <v>45884</v>
      </c>
      <c r="B358">
        <v>17.11</v>
      </c>
    </row>
    <row r="359" spans="1:2" x14ac:dyDescent="0.25">
      <c r="A359" s="22">
        <v>45887</v>
      </c>
      <c r="B359">
        <v>16.79</v>
      </c>
    </row>
    <row r="360" spans="1:2" x14ac:dyDescent="0.25">
      <c r="A360" s="22">
        <v>45888</v>
      </c>
      <c r="B360">
        <v>16.95</v>
      </c>
    </row>
    <row r="361" spans="1:2" x14ac:dyDescent="0.25">
      <c r="A361" s="22">
        <v>45889</v>
      </c>
      <c r="B361">
        <v>17.100000000000001</v>
      </c>
    </row>
    <row r="362" spans="1:2" x14ac:dyDescent="0.25">
      <c r="A362" s="22">
        <v>45890</v>
      </c>
      <c r="B362">
        <v>16.97</v>
      </c>
    </row>
    <row r="363" spans="1:2" x14ac:dyDescent="0.25">
      <c r="A363" s="22">
        <v>45891</v>
      </c>
      <c r="B363">
        <v>17.055</v>
      </c>
    </row>
    <row r="364" spans="1:2" x14ac:dyDescent="0.25">
      <c r="A364" s="22">
        <v>45894</v>
      </c>
      <c r="B364">
        <v>16.55</v>
      </c>
    </row>
    <row r="365" spans="1:2" x14ac:dyDescent="0.25">
      <c r="A365" s="22">
        <v>45895</v>
      </c>
      <c r="B365">
        <v>15.65</v>
      </c>
    </row>
    <row r="366" spans="1:2" x14ac:dyDescent="0.25">
      <c r="A366" s="22">
        <v>45896</v>
      </c>
      <c r="B366">
        <v>15.56</v>
      </c>
    </row>
    <row r="367" spans="1:2" x14ac:dyDescent="0.25">
      <c r="A367" s="22">
        <v>45897</v>
      </c>
      <c r="B367">
        <v>15.69</v>
      </c>
    </row>
    <row r="368" spans="1:2" x14ac:dyDescent="0.25">
      <c r="A368" s="22">
        <v>45898</v>
      </c>
      <c r="B368">
        <v>15.63</v>
      </c>
    </row>
    <row r="369" spans="1:2" x14ac:dyDescent="0.25">
      <c r="A369" s="22">
        <v>45901</v>
      </c>
      <c r="B369">
        <v>15.62</v>
      </c>
    </row>
    <row r="370" spans="1:2" x14ac:dyDescent="0.25">
      <c r="A370" s="22">
        <v>45902</v>
      </c>
      <c r="B370">
        <v>15.404999999999999</v>
      </c>
    </row>
    <row r="371" spans="1:2" x14ac:dyDescent="0.25">
      <c r="A371" s="22">
        <v>45903</v>
      </c>
      <c r="B371">
        <v>15.515000000000001</v>
      </c>
    </row>
    <row r="372" spans="1:2" x14ac:dyDescent="0.25">
      <c r="A372" s="22">
        <v>45904</v>
      </c>
      <c r="B372">
        <v>15.88</v>
      </c>
    </row>
    <row r="373" spans="1:2" x14ac:dyDescent="0.25">
      <c r="A373" s="22">
        <v>45905</v>
      </c>
      <c r="B373">
        <v>15.69</v>
      </c>
    </row>
    <row r="374" spans="1:2" x14ac:dyDescent="0.25">
      <c r="A374" s="22">
        <v>45908</v>
      </c>
      <c r="B374">
        <v>15.94</v>
      </c>
    </row>
    <row r="375" spans="1:2" x14ac:dyDescent="0.25">
      <c r="A375" s="22">
        <v>45909</v>
      </c>
      <c r="B375">
        <v>16.065000000000001</v>
      </c>
    </row>
    <row r="376" spans="1:2" x14ac:dyDescent="0.25">
      <c r="A376" s="22">
        <v>45910</v>
      </c>
      <c r="B376">
        <v>16.3</v>
      </c>
    </row>
    <row r="377" spans="1:2" x14ac:dyDescent="0.25">
      <c r="A377" s="22">
        <v>45911</v>
      </c>
      <c r="B377">
        <v>16.489999999999998</v>
      </c>
    </row>
    <row r="378" spans="1:2" x14ac:dyDescent="0.25">
      <c r="A378" s="22">
        <v>45912</v>
      </c>
      <c r="B378">
        <v>16.454999999999998</v>
      </c>
    </row>
    <row r="379" spans="1:2" x14ac:dyDescent="0.25">
      <c r="A379" s="22">
        <v>45915</v>
      </c>
      <c r="B379">
        <v>16.745000000000001</v>
      </c>
    </row>
    <row r="380" spans="1:2" x14ac:dyDescent="0.25">
      <c r="A380" s="22">
        <v>45916</v>
      </c>
      <c r="B380">
        <v>16.45</v>
      </c>
    </row>
    <row r="381" spans="1:2" x14ac:dyDescent="0.25">
      <c r="A381" s="22">
        <v>45917</v>
      </c>
      <c r="B381">
        <v>16.27</v>
      </c>
    </row>
    <row r="382" spans="1:2" x14ac:dyDescent="0.25">
      <c r="A382" s="22">
        <v>45918</v>
      </c>
      <c r="B382">
        <v>16.3</v>
      </c>
    </row>
    <row r="383" spans="1:2" x14ac:dyDescent="0.25">
      <c r="A383" s="22">
        <v>45919</v>
      </c>
      <c r="B383">
        <v>16.53</v>
      </c>
    </row>
    <row r="384" spans="1:2" x14ac:dyDescent="0.25">
      <c r="A384" s="22">
        <v>45922</v>
      </c>
      <c r="B384">
        <v>16.61</v>
      </c>
    </row>
    <row r="385" spans="1:2" x14ac:dyDescent="0.25">
      <c r="A385" s="22">
        <v>45923</v>
      </c>
      <c r="B385">
        <v>16.765000000000001</v>
      </c>
    </row>
    <row r="386" spans="1:2" x14ac:dyDescent="0.25">
      <c r="A386" s="22">
        <v>45924</v>
      </c>
      <c r="B386">
        <v>16.614999999999998</v>
      </c>
    </row>
    <row r="387" spans="1:2" x14ac:dyDescent="0.25">
      <c r="A387" s="22">
        <v>45925</v>
      </c>
      <c r="B387">
        <v>16.48</v>
      </c>
    </row>
    <row r="388" spans="1:2" x14ac:dyDescent="0.25">
      <c r="A388" s="22">
        <v>45926</v>
      </c>
      <c r="B388">
        <v>16.895</v>
      </c>
    </row>
    <row r="389" spans="1:2" x14ac:dyDescent="0.25">
      <c r="A389" s="22">
        <v>45929</v>
      </c>
      <c r="B389">
        <v>16.940000000000001</v>
      </c>
    </row>
    <row r="390" spans="1:2" x14ac:dyDescent="0.25">
      <c r="A390" s="22">
        <v>45930</v>
      </c>
      <c r="B390">
        <v>16.72</v>
      </c>
    </row>
    <row r="391" spans="1:2" x14ac:dyDescent="0.25">
      <c r="A391" s="22">
        <v>45931</v>
      </c>
      <c r="B391">
        <v>17.02</v>
      </c>
    </row>
    <row r="392" spans="1:2" x14ac:dyDescent="0.25">
      <c r="A392" s="22">
        <v>45932</v>
      </c>
      <c r="B392">
        <v>16.95</v>
      </c>
    </row>
    <row r="393" spans="1:2" x14ac:dyDescent="0.25">
      <c r="A393" s="22">
        <v>45933</v>
      </c>
      <c r="B393">
        <v>16.914999999999999</v>
      </c>
    </row>
    <row r="394" spans="1:2" x14ac:dyDescent="0.25">
      <c r="A394" s="22">
        <v>45936</v>
      </c>
      <c r="B394">
        <v>16.335000000000001</v>
      </c>
    </row>
    <row r="395" spans="1:2" x14ac:dyDescent="0.25">
      <c r="A395" s="22">
        <v>45937</v>
      </c>
      <c r="B395">
        <v>16.3</v>
      </c>
    </row>
    <row r="396" spans="1:2" x14ac:dyDescent="0.25">
      <c r="A396" s="22">
        <v>45938</v>
      </c>
      <c r="B396">
        <v>16.48</v>
      </c>
    </row>
    <row r="397" spans="1:2" x14ac:dyDescent="0.25">
      <c r="A397" s="22">
        <v>45939</v>
      </c>
      <c r="B397">
        <v>16.63</v>
      </c>
    </row>
    <row r="398" spans="1:2" x14ac:dyDescent="0.25">
      <c r="A398" s="22">
        <v>45940</v>
      </c>
      <c r="B398">
        <v>16.53</v>
      </c>
    </row>
    <row r="399" spans="1:2" x14ac:dyDescent="0.25">
      <c r="A399" s="22">
        <v>45943</v>
      </c>
      <c r="B399">
        <v>16.48</v>
      </c>
    </row>
    <row r="400" spans="1:2" x14ac:dyDescent="0.25">
      <c r="A400" s="22">
        <v>45944</v>
      </c>
      <c r="B400">
        <v>16.59</v>
      </c>
    </row>
    <row r="401" spans="1:2" x14ac:dyDescent="0.25">
      <c r="A401" s="22">
        <v>45945</v>
      </c>
      <c r="B401">
        <v>16.829999999999998</v>
      </c>
    </row>
    <row r="402" spans="1:2" x14ac:dyDescent="0.25">
      <c r="A402" s="22">
        <v>45946</v>
      </c>
      <c r="B402">
        <v>16.905000000000001</v>
      </c>
    </row>
    <row r="403" spans="1:2" x14ac:dyDescent="0.25">
      <c r="A403" s="22">
        <v>45947</v>
      </c>
      <c r="B403">
        <v>16.489999999999998</v>
      </c>
    </row>
    <row r="404" spans="1:2" x14ac:dyDescent="0.25">
      <c r="A404" s="22">
        <v>45950</v>
      </c>
      <c r="B404">
        <v>16.355</v>
      </c>
    </row>
    <row r="405" spans="1:2" x14ac:dyDescent="0.25">
      <c r="A405" s="22">
        <v>45951</v>
      </c>
      <c r="B405">
        <v>16.309999999999999</v>
      </c>
    </row>
    <row r="406" spans="1:2" x14ac:dyDescent="0.25">
      <c r="A406" s="22">
        <v>45952</v>
      </c>
      <c r="B406">
        <v>16.350000000000001</v>
      </c>
    </row>
    <row r="407" spans="1:2" x14ac:dyDescent="0.25">
      <c r="A407" s="22">
        <v>45953</v>
      </c>
      <c r="B407">
        <v>16.39</v>
      </c>
    </row>
    <row r="408" spans="1:2" x14ac:dyDescent="0.25">
      <c r="A408" s="22">
        <v>45954</v>
      </c>
      <c r="B408">
        <v>16.335000000000001</v>
      </c>
    </row>
    <row r="409" spans="1:2" x14ac:dyDescent="0.25">
      <c r="A409" s="22">
        <v>45957</v>
      </c>
      <c r="B409">
        <v>16.324999999999999</v>
      </c>
    </row>
    <row r="410" spans="1:2" x14ac:dyDescent="0.25">
      <c r="A410" s="22">
        <v>45958</v>
      </c>
      <c r="B410">
        <v>16.254999999999999</v>
      </c>
    </row>
    <row r="411" spans="1:2" x14ac:dyDescent="0.25">
      <c r="A411" s="22">
        <v>45959</v>
      </c>
      <c r="B411">
        <v>16.265000000000001</v>
      </c>
    </row>
    <row r="412" spans="1:2" x14ac:dyDescent="0.25">
      <c r="A412" s="22">
        <v>45960</v>
      </c>
      <c r="B412">
        <v>15.484999999999999</v>
      </c>
    </row>
    <row r="413" spans="1:2" x14ac:dyDescent="0.25">
      <c r="A413" s="22">
        <v>45961</v>
      </c>
      <c r="B413">
        <v>15.64</v>
      </c>
    </row>
    <row r="414" spans="1:2" x14ac:dyDescent="0.25">
      <c r="A414" s="22">
        <v>45964</v>
      </c>
      <c r="B414">
        <v>15.565</v>
      </c>
    </row>
    <row r="415" spans="1:2" x14ac:dyDescent="0.25">
      <c r="A415" s="22">
        <v>45965</v>
      </c>
      <c r="B415">
        <v>15.64</v>
      </c>
    </row>
    <row r="416" spans="1:2" x14ac:dyDescent="0.25">
      <c r="A416" s="22">
        <v>45966</v>
      </c>
      <c r="B416">
        <v>15.53</v>
      </c>
    </row>
    <row r="417" spans="1:2" x14ac:dyDescent="0.25">
      <c r="A417" s="22">
        <v>45967</v>
      </c>
      <c r="B417">
        <v>15.645</v>
      </c>
    </row>
    <row r="418" spans="1:2" x14ac:dyDescent="0.25">
      <c r="A418" s="22">
        <v>45968</v>
      </c>
      <c r="B418">
        <v>15.64</v>
      </c>
    </row>
    <row r="419" spans="1:2" x14ac:dyDescent="0.25">
      <c r="A419" s="22">
        <v>45971</v>
      </c>
      <c r="B419">
        <v>15.904999999999999</v>
      </c>
    </row>
    <row r="420" spans="1:2" x14ac:dyDescent="0.25">
      <c r="A420" s="22">
        <v>45972</v>
      </c>
      <c r="B420">
        <v>16.02</v>
      </c>
    </row>
    <row r="421" spans="1:2" x14ac:dyDescent="0.25">
      <c r="A421" s="22">
        <v>45973</v>
      </c>
      <c r="B421">
        <v>16.225000000000001</v>
      </c>
    </row>
    <row r="422" spans="1:2" x14ac:dyDescent="0.25">
      <c r="A422" s="22">
        <v>45974</v>
      </c>
      <c r="B422">
        <v>16.53</v>
      </c>
    </row>
    <row r="423" spans="1:2" x14ac:dyDescent="0.25">
      <c r="A423" s="22">
        <v>45975</v>
      </c>
      <c r="B423">
        <v>16.335000000000001</v>
      </c>
    </row>
    <row r="424" spans="1:2" x14ac:dyDescent="0.25">
      <c r="A424" s="22">
        <v>45978</v>
      </c>
      <c r="B424">
        <v>16.22</v>
      </c>
    </row>
    <row r="425" spans="1:2" x14ac:dyDescent="0.25">
      <c r="A425" s="22">
        <v>45979</v>
      </c>
      <c r="B425">
        <v>15.88</v>
      </c>
    </row>
    <row r="426" spans="1:2" x14ac:dyDescent="0.25">
      <c r="A426" s="22">
        <v>45980</v>
      </c>
      <c r="B426">
        <v>15.89</v>
      </c>
    </row>
    <row r="427" spans="1:2" x14ac:dyDescent="0.25">
      <c r="A427" s="22">
        <v>45981</v>
      </c>
      <c r="B427">
        <v>15.984999999999999</v>
      </c>
    </row>
    <row r="428" spans="1:2" x14ac:dyDescent="0.25">
      <c r="A428" s="22">
        <v>45982</v>
      </c>
      <c r="B428">
        <v>16.100000000000001</v>
      </c>
    </row>
    <row r="429" spans="1:2" x14ac:dyDescent="0.25">
      <c r="A429" s="22">
        <v>45985</v>
      </c>
      <c r="B429">
        <v>16.094999999999999</v>
      </c>
    </row>
    <row r="430" spans="1:2" x14ac:dyDescent="0.25">
      <c r="A430" s="22">
        <v>45986</v>
      </c>
      <c r="B430">
        <v>16.335000000000001</v>
      </c>
    </row>
    <row r="431" spans="1:2" x14ac:dyDescent="0.25">
      <c r="A431" s="22">
        <v>45987</v>
      </c>
      <c r="B431">
        <v>16.454999999999998</v>
      </c>
    </row>
    <row r="432" spans="1:2" x14ac:dyDescent="0.25">
      <c r="A432" s="22">
        <v>45988</v>
      </c>
      <c r="B432">
        <v>16.5</v>
      </c>
    </row>
    <row r="433" spans="1:2" x14ac:dyDescent="0.25">
      <c r="A433" s="22">
        <v>45989</v>
      </c>
      <c r="B433">
        <v>16.52</v>
      </c>
    </row>
    <row r="434" spans="1:2" x14ac:dyDescent="0.25">
      <c r="A434" s="22">
        <v>45992</v>
      </c>
      <c r="B434">
        <v>16.579999999999998</v>
      </c>
    </row>
    <row r="435" spans="1:2" x14ac:dyDescent="0.25">
      <c r="A435" s="22">
        <v>45993</v>
      </c>
      <c r="B435">
        <v>16.84</v>
      </c>
    </row>
    <row r="436" spans="1:2" x14ac:dyDescent="0.25">
      <c r="A436" s="22">
        <v>45994</v>
      </c>
      <c r="B436">
        <v>16.66</v>
      </c>
    </row>
    <row r="437" spans="1:2" x14ac:dyDescent="0.25">
      <c r="A437" s="22">
        <v>45995</v>
      </c>
      <c r="B437">
        <v>16.84</v>
      </c>
    </row>
    <row r="438" spans="1:2" x14ac:dyDescent="0.25">
      <c r="A438" s="22">
        <v>45996</v>
      </c>
      <c r="B438">
        <v>16.795000000000002</v>
      </c>
    </row>
    <row r="439" spans="1:2" x14ac:dyDescent="0.25">
      <c r="A439" s="22">
        <v>45999</v>
      </c>
      <c r="B439">
        <v>16.899999999999999</v>
      </c>
    </row>
    <row r="440" spans="1:2" x14ac:dyDescent="0.25">
      <c r="A440" s="22">
        <v>46000</v>
      </c>
      <c r="B440">
        <v>17.16</v>
      </c>
    </row>
    <row r="441" spans="1:2" x14ac:dyDescent="0.25">
      <c r="A441" s="22">
        <v>46001</v>
      </c>
      <c r="B441">
        <v>17.094999999999999</v>
      </c>
    </row>
    <row r="442" spans="1:2" x14ac:dyDescent="0.25">
      <c r="A442" s="22">
        <v>46002</v>
      </c>
      <c r="B442">
        <v>17.28</v>
      </c>
    </row>
    <row r="443" spans="1:2" x14ac:dyDescent="0.25">
      <c r="A443" s="22">
        <v>46003</v>
      </c>
      <c r="B443">
        <v>17.114999999999998</v>
      </c>
    </row>
    <row r="444" spans="1:2" x14ac:dyDescent="0.25">
      <c r="A444" s="22">
        <v>46006</v>
      </c>
      <c r="B444">
        <v>17.155000000000001</v>
      </c>
    </row>
    <row r="445" spans="1:2" x14ac:dyDescent="0.25">
      <c r="A445" s="22">
        <v>46007</v>
      </c>
      <c r="B445">
        <v>17.239999999999998</v>
      </c>
    </row>
    <row r="446" spans="1:2" x14ac:dyDescent="0.25">
      <c r="A446" s="22">
        <v>46008</v>
      </c>
      <c r="B446">
        <v>17.395</v>
      </c>
    </row>
    <row r="447" spans="1:2" x14ac:dyDescent="0.25">
      <c r="A447" s="22">
        <v>46009</v>
      </c>
      <c r="B447">
        <v>17.445</v>
      </c>
    </row>
    <row r="448" spans="1:2" x14ac:dyDescent="0.25">
      <c r="A448" s="22">
        <v>46010</v>
      </c>
      <c r="B448">
        <v>17.600000000000001</v>
      </c>
    </row>
    <row r="449" spans="1:2" x14ac:dyDescent="0.25">
      <c r="A449" s="22">
        <v>46013</v>
      </c>
      <c r="B449">
        <v>17.555</v>
      </c>
    </row>
    <row r="450" spans="1:2" x14ac:dyDescent="0.25">
      <c r="A450" s="22">
        <v>46014</v>
      </c>
      <c r="B450">
        <v>17.574999999999999</v>
      </c>
    </row>
    <row r="451" spans="1:2" x14ac:dyDescent="0.25">
      <c r="A451" s="22">
        <v>46015</v>
      </c>
      <c r="B451">
        <v>17.54</v>
      </c>
    </row>
    <row r="452" spans="1:2" x14ac:dyDescent="0.25">
      <c r="A452" s="22">
        <v>46020</v>
      </c>
      <c r="B452">
        <v>17.440000000000001</v>
      </c>
    </row>
    <row r="453" spans="1:2" x14ac:dyDescent="0.25">
      <c r="A453" s="22">
        <v>46021</v>
      </c>
      <c r="B453">
        <v>17.614999999999998</v>
      </c>
    </row>
    <row r="454" spans="1:2" x14ac:dyDescent="0.25">
      <c r="A454" s="22">
        <v>46022</v>
      </c>
      <c r="B454">
        <v>17.55</v>
      </c>
    </row>
    <row r="455" spans="1:2" x14ac:dyDescent="0.25">
      <c r="A455" s="22">
        <v>46024</v>
      </c>
      <c r="B455">
        <v>17.79</v>
      </c>
    </row>
    <row r="456" spans="1:2" x14ac:dyDescent="0.25">
      <c r="A456" s="22">
        <v>46027</v>
      </c>
      <c r="B456">
        <v>17.75</v>
      </c>
    </row>
    <row r="457" spans="1:2" x14ac:dyDescent="0.25">
      <c r="A457" s="22">
        <v>46028</v>
      </c>
      <c r="B457">
        <v>17.57</v>
      </c>
    </row>
    <row r="458" spans="1:2" x14ac:dyDescent="0.25">
      <c r="A458" s="22">
        <v>46029</v>
      </c>
      <c r="B458">
        <v>17.32</v>
      </c>
    </row>
    <row r="459" spans="1:2" x14ac:dyDescent="0.25">
      <c r="A459" s="22">
        <v>46030</v>
      </c>
      <c r="B459">
        <v>17.57</v>
      </c>
    </row>
    <row r="460" spans="1:2" x14ac:dyDescent="0.25">
      <c r="A460" s="22">
        <v>46031</v>
      </c>
      <c r="B460">
        <v>17.684999999999999</v>
      </c>
    </row>
    <row r="461" spans="1:2" x14ac:dyDescent="0.25">
      <c r="A461" s="22">
        <v>46034</v>
      </c>
      <c r="B461">
        <v>17.64</v>
      </c>
    </row>
    <row r="462" spans="1:2" x14ac:dyDescent="0.25">
      <c r="A462" s="22">
        <v>46035</v>
      </c>
      <c r="B462">
        <v>17.765000000000001</v>
      </c>
    </row>
    <row r="463" spans="1:2" x14ac:dyDescent="0.25">
      <c r="A463" s="22">
        <v>46036</v>
      </c>
      <c r="B463">
        <v>17.670000000000002</v>
      </c>
    </row>
    <row r="464" spans="1:2" x14ac:dyDescent="0.25">
      <c r="A464" s="22">
        <v>46037</v>
      </c>
      <c r="B464">
        <v>17.63</v>
      </c>
    </row>
    <row r="465" spans="1:2" x14ac:dyDescent="0.25">
      <c r="A465" s="22">
        <v>46038</v>
      </c>
      <c r="B465">
        <v>17.55</v>
      </c>
    </row>
    <row r="466" spans="1:2" x14ac:dyDescent="0.25">
      <c r="A466" s="22">
        <v>46041</v>
      </c>
      <c r="B466">
        <v>17.405000000000001</v>
      </c>
    </row>
    <row r="467" spans="1:2" x14ac:dyDescent="0.25">
      <c r="A467" s="22">
        <v>46042</v>
      </c>
      <c r="B467">
        <v>17.254999999999999</v>
      </c>
    </row>
    <row r="468" spans="1:2" x14ac:dyDescent="0.25">
      <c r="A468" s="22">
        <v>46043</v>
      </c>
      <c r="B468">
        <v>17.28</v>
      </c>
    </row>
    <row r="469" spans="1:2" x14ac:dyDescent="0.25">
      <c r="A469" s="22">
        <v>46044</v>
      </c>
      <c r="B469">
        <v>17.489999999999998</v>
      </c>
    </row>
    <row r="470" spans="1:2" x14ac:dyDescent="0.25">
      <c r="A470" s="22">
        <v>46045</v>
      </c>
      <c r="B470">
        <v>17.454999999999998</v>
      </c>
    </row>
    <row r="471" spans="1:2" x14ac:dyDescent="0.25">
      <c r="A471" s="22">
        <v>46048</v>
      </c>
      <c r="B471">
        <v>17.715</v>
      </c>
    </row>
    <row r="472" spans="1:2" x14ac:dyDescent="0.25">
      <c r="A472" s="22">
        <v>46049</v>
      </c>
      <c r="B472">
        <v>18.190000000000001</v>
      </c>
    </row>
    <row r="473" spans="1:2" x14ac:dyDescent="0.25">
      <c r="A473" s="22">
        <v>46050</v>
      </c>
      <c r="B473">
        <v>18</v>
      </c>
    </row>
    <row r="474" spans="1:2" x14ac:dyDescent="0.25">
      <c r="A474" s="22">
        <v>46051</v>
      </c>
      <c r="B474">
        <v>18.079999999999998</v>
      </c>
    </row>
    <row r="475" spans="1:2" x14ac:dyDescent="0.25">
      <c r="A475" s="22">
        <v>46052</v>
      </c>
      <c r="B475">
        <v>18.27</v>
      </c>
    </row>
    <row r="476" spans="1:2" x14ac:dyDescent="0.25">
      <c r="A476" s="22">
        <v>46055</v>
      </c>
      <c r="B476">
        <v>18.48</v>
      </c>
    </row>
    <row r="477" spans="1:2" x14ac:dyDescent="0.25">
      <c r="A477" s="22">
        <v>46056</v>
      </c>
      <c r="B477">
        <v>18.745000000000001</v>
      </c>
    </row>
    <row r="478" spans="1:2" x14ac:dyDescent="0.25">
      <c r="A478" s="22">
        <v>46057</v>
      </c>
      <c r="B478">
        <v>18.175000000000001</v>
      </c>
    </row>
    <row r="479" spans="1:2" x14ac:dyDescent="0.25">
      <c r="A479" s="22">
        <v>46058</v>
      </c>
      <c r="B479">
        <v>17.72</v>
      </c>
    </row>
    <row r="480" spans="1:2" x14ac:dyDescent="0.25">
      <c r="A480" s="22">
        <v>46059</v>
      </c>
      <c r="B480">
        <v>17.864999999999998</v>
      </c>
    </row>
    <row r="481" spans="1:2" x14ac:dyDescent="0.25">
      <c r="A481" s="22">
        <v>46062</v>
      </c>
      <c r="B481">
        <v>18.184999999999999</v>
      </c>
    </row>
    <row r="482" spans="1:2" x14ac:dyDescent="0.25">
      <c r="A482" s="22">
        <v>46063</v>
      </c>
      <c r="B482">
        <v>18.04</v>
      </c>
    </row>
    <row r="483" spans="1:2" x14ac:dyDescent="0.25">
      <c r="A483" s="22">
        <v>46064</v>
      </c>
      <c r="B483">
        <v>18.03</v>
      </c>
    </row>
    <row r="484" spans="1:2" x14ac:dyDescent="0.25">
      <c r="A484" s="22">
        <v>46065</v>
      </c>
      <c r="B484">
        <v>17.940000000000001</v>
      </c>
    </row>
    <row r="485" spans="1:2" x14ac:dyDescent="0.25">
      <c r="A485" s="22">
        <v>46066</v>
      </c>
      <c r="B485">
        <v>17.77</v>
      </c>
    </row>
    <row r="486" spans="1:2" x14ac:dyDescent="0.25">
      <c r="A486" s="22">
        <v>46069</v>
      </c>
      <c r="B486">
        <v>18.024999999999999</v>
      </c>
    </row>
    <row r="487" spans="1:2" x14ac:dyDescent="0.25">
      <c r="A487" s="22">
        <v>46070</v>
      </c>
      <c r="B487">
        <v>18.05</v>
      </c>
    </row>
    <row r="488" spans="1:2" x14ac:dyDescent="0.25">
      <c r="A488" s="22">
        <v>46071</v>
      </c>
      <c r="B488">
        <v>18.3</v>
      </c>
    </row>
    <row r="489" spans="1:2" x14ac:dyDescent="0.25">
      <c r="A489" s="22">
        <v>46072</v>
      </c>
      <c r="B489">
        <v>18.254999999999999</v>
      </c>
    </row>
    <row r="490" spans="1:2" x14ac:dyDescent="0.25">
      <c r="A490" s="22">
        <v>46073</v>
      </c>
      <c r="B490">
        <v>18.565000000000001</v>
      </c>
    </row>
    <row r="491" spans="1:2" x14ac:dyDescent="0.25">
      <c r="A491" s="22">
        <v>46076</v>
      </c>
      <c r="B491">
        <v>18.715</v>
      </c>
    </row>
    <row r="492" spans="1:2" x14ac:dyDescent="0.25">
      <c r="A492" s="22">
        <v>46077</v>
      </c>
      <c r="B492">
        <v>18.504999999999999</v>
      </c>
    </row>
    <row r="493" spans="1:2" x14ac:dyDescent="0.25">
      <c r="A493" s="22">
        <v>46078</v>
      </c>
      <c r="B493">
        <v>19.015000000000001</v>
      </c>
    </row>
    <row r="494" spans="1:2" x14ac:dyDescent="0.25">
      <c r="A494" s="22">
        <v>46079</v>
      </c>
      <c r="B494">
        <v>19.024999999999999</v>
      </c>
    </row>
    <row r="495" spans="1:2" x14ac:dyDescent="0.25">
      <c r="A495" s="22">
        <v>46080</v>
      </c>
      <c r="B495">
        <v>18.785</v>
      </c>
    </row>
    <row r="496" spans="1:2" x14ac:dyDescent="0.25">
      <c r="A496" s="22">
        <v>46083</v>
      </c>
      <c r="B496">
        <v>18.39</v>
      </c>
    </row>
    <row r="497" spans="1:2" x14ac:dyDescent="0.25">
      <c r="A497" s="22">
        <v>46084</v>
      </c>
      <c r="B497">
        <v>17.579999999999998</v>
      </c>
    </row>
    <row r="498" spans="1:2" x14ac:dyDescent="0.25">
      <c r="A498" s="22">
        <v>46085</v>
      </c>
      <c r="B498">
        <v>17.600000000000001</v>
      </c>
    </row>
    <row r="499" spans="1:2" x14ac:dyDescent="0.25">
      <c r="A499" s="22">
        <v>46086</v>
      </c>
      <c r="B499">
        <v>17.004999999999999</v>
      </c>
    </row>
    <row r="500" spans="1:2" x14ac:dyDescent="0.25">
      <c r="A500" s="22">
        <v>46087</v>
      </c>
      <c r="B500">
        <v>16.79</v>
      </c>
    </row>
    <row r="501" spans="1:2" x14ac:dyDescent="0.25">
      <c r="A501" s="22">
        <v>46090</v>
      </c>
      <c r="B501">
        <v>16.59</v>
      </c>
    </row>
    <row r="502" spans="1:2" x14ac:dyDescent="0.25">
      <c r="A502" s="22">
        <v>46091</v>
      </c>
      <c r="B502">
        <v>17.085000000000001</v>
      </c>
    </row>
    <row r="503" spans="1:2" x14ac:dyDescent="0.25">
      <c r="A503" s="22">
        <v>46092</v>
      </c>
      <c r="B503">
        <v>17.010000000000002</v>
      </c>
    </row>
    <row r="504" spans="1:2" x14ac:dyDescent="0.25">
      <c r="A504" s="22">
        <v>46093</v>
      </c>
      <c r="B504">
        <v>16.510000000000002</v>
      </c>
    </row>
    <row r="505" spans="1:2" x14ac:dyDescent="0.25">
      <c r="A505" s="22">
        <v>46094</v>
      </c>
      <c r="B505">
        <v>16.324999999999999</v>
      </c>
    </row>
    <row r="506" spans="1:2" x14ac:dyDescent="0.25">
      <c r="A506" s="22">
        <v>46097</v>
      </c>
      <c r="B506">
        <v>16.39</v>
      </c>
    </row>
    <row r="507" spans="1:2" x14ac:dyDescent="0.25">
      <c r="A507" s="22">
        <v>46098</v>
      </c>
      <c r="B507">
        <v>16.495000000000001</v>
      </c>
    </row>
    <row r="508" spans="1:2" x14ac:dyDescent="0.25">
      <c r="A508" s="22">
        <v>46099</v>
      </c>
      <c r="B508">
        <v>16.64</v>
      </c>
    </row>
    <row r="509" spans="1:2" x14ac:dyDescent="0.25">
      <c r="A509" s="22">
        <v>46100</v>
      </c>
      <c r="B509">
        <v>16.254999999999999</v>
      </c>
    </row>
    <row r="510" spans="1:2" x14ac:dyDescent="0.25">
      <c r="A510" s="22">
        <v>46101</v>
      </c>
      <c r="B510">
        <v>15.975</v>
      </c>
    </row>
    <row r="511" spans="1:2" x14ac:dyDescent="0.25">
      <c r="A511" s="22">
        <v>46104</v>
      </c>
      <c r="B511">
        <v>16.18</v>
      </c>
    </row>
    <row r="512" spans="1:2" x14ac:dyDescent="0.25">
      <c r="A512" s="22">
        <v>46105</v>
      </c>
      <c r="B512">
        <v>16.105</v>
      </c>
    </row>
    <row r="513" spans="1:2" x14ac:dyDescent="0.25">
      <c r="A513" s="22">
        <v>46106</v>
      </c>
      <c r="B513">
        <v>16.329999999999998</v>
      </c>
    </row>
    <row r="514" spans="1:2" x14ac:dyDescent="0.25">
      <c r="A514" s="22">
        <v>46107</v>
      </c>
      <c r="B514">
        <v>15.945</v>
      </c>
    </row>
    <row r="515" spans="1:2" x14ac:dyDescent="0.25">
      <c r="A515" s="22">
        <v>46108</v>
      </c>
      <c r="B515">
        <v>15.87</v>
      </c>
    </row>
    <row r="516" spans="1:2" x14ac:dyDescent="0.25">
      <c r="A516" s="22">
        <v>46111</v>
      </c>
      <c r="B516">
        <v>15.71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selection activeCell="L10" sqref="L10"/>
    </sheetView>
  </sheetViews>
  <sheetFormatPr defaultRowHeight="15" x14ac:dyDescent="0.25"/>
  <cols>
    <col min="1" max="1" width="23" customWidth="1"/>
  </cols>
  <sheetData>
    <row r="1" spans="1:12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20.25" x14ac:dyDescent="0.25">
      <c r="A2" s="4" t="s">
        <v>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6"/>
      <c r="B4" s="6"/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7" t="s">
        <v>15</v>
      </c>
      <c r="L4" s="7" t="s">
        <v>16</v>
      </c>
    </row>
    <row r="5" spans="1:12" x14ac:dyDescent="0.25">
      <c r="A5" s="8" t="s">
        <v>17</v>
      </c>
      <c r="B5" s="8"/>
      <c r="C5" s="9" t="s">
        <v>18</v>
      </c>
      <c r="D5" s="9" t="s">
        <v>19</v>
      </c>
      <c r="E5" s="9" t="s">
        <v>20</v>
      </c>
      <c r="F5" s="9" t="s">
        <v>21</v>
      </c>
      <c r="G5" s="9" t="s">
        <v>22</v>
      </c>
      <c r="H5" s="9" t="s">
        <v>23</v>
      </c>
      <c r="I5" s="9" t="s">
        <v>24</v>
      </c>
      <c r="J5" s="9" t="s">
        <v>25</v>
      </c>
      <c r="K5" s="9" t="s">
        <v>26</v>
      </c>
      <c r="L5" s="9" t="s">
        <v>27</v>
      </c>
    </row>
    <row r="6" spans="1:12" x14ac:dyDescent="0.25">
      <c r="A6" s="10" t="s">
        <v>28</v>
      </c>
      <c r="B6" s="11"/>
      <c r="C6" s="11"/>
      <c r="D6" s="11"/>
      <c r="E6" s="11"/>
      <c r="F6" s="11"/>
      <c r="G6" s="11"/>
      <c r="H6" s="11"/>
      <c r="I6" s="11"/>
      <c r="J6" s="12"/>
      <c r="K6" s="11"/>
      <c r="L6" s="11"/>
    </row>
    <row r="7" spans="1:12" x14ac:dyDescent="0.25">
      <c r="A7" s="13" t="s">
        <v>29</v>
      </c>
      <c r="B7" s="13" t="s">
        <v>30</v>
      </c>
      <c r="C7" s="14">
        <f>_xll.BDH("SX5E Index","INDX_ADJ_PE","CY 2019","CY 2019","Currency=EUR","Period=CY","FUND_PER=Y","BEST_FPERIOD_OVERRIDE=1GY","Sort=A","Dates=H","DateFormat=P","Fill=—","Direction=H","UseDPDF=Y")</f>
        <v>15.559699999999999</v>
      </c>
      <c r="D7" s="14">
        <f>_xll.BDH("SX5E Index","INDX_ADJ_PE","CY 2020","CY 2020","Currency=EUR","Period=CY","FUND_PER=Y","BEST_FPERIOD_OVERRIDE=1GY","Sort=A","Dates=H","DateFormat=P","Fill=—","Direction=H","UseDPDF=Y")</f>
        <v>20.5916</v>
      </c>
      <c r="E7" s="14">
        <f>_xll.BDH("SX5E Index","INDX_ADJ_PE","CY 2021","CY 2021","Currency=EUR","Period=CY","FUND_PER=Y","BEST_FPERIOD_OVERRIDE=1GY","Sort=A","Dates=H","DateFormat=P","Fill=—","Direction=H","UseDPDF=Y")</f>
        <v>17.0565</v>
      </c>
      <c r="F7" s="14">
        <f>_xll.BDH("SX5E Index","INDX_ADJ_PE","CY 2022","CY 2022","Currency=EUR","Period=CY","FUND_PER=Y","BEST_FPERIOD_OVERRIDE=1GY","Sort=A","Dates=H","DateFormat=P","Fill=—","Direction=H","UseDPDF=Y")</f>
        <v>11.593299999999999</v>
      </c>
      <c r="G7" s="14">
        <f>_xll.BDH("SX5E Index","INDX_ADJ_PE","CY 2023","CY 2023","Currency=EUR","Period=CY","FUND_PER=Y","BEST_FPERIOD_OVERRIDE=1GY","Sort=A","Dates=H","DateFormat=P","Fill=—","Direction=H","UseDPDF=Y")</f>
        <v>12.6995</v>
      </c>
      <c r="H7" s="14">
        <f>_xll.BDH("SX5E Index","INDX_ADJ_PE","CY 2024","CY 2024","Currency=EUR","Period=CY","FUND_PER=Y","BEST_FPERIOD_OVERRIDE=1GY","Sort=A","Dates=H","DateFormat=P","Fill=—","Direction=H","UseDPDF=Y")</f>
        <v>14.1568</v>
      </c>
      <c r="I7" s="14">
        <f>_xll.BDH("SX5E Index","INDX_ADJ_PE","CY 2025","CY 2025","Currency=EUR","Period=CY","FUND_PER=Y","BEST_FPERIOD_OVERRIDE=1GY","Sort=A","Dates=H","DateFormat=P","Fill=—","Direction=H","UseDPDF=Y")</f>
        <v>17.480499999999999</v>
      </c>
      <c r="J7" s="15">
        <v>16.492940999999998</v>
      </c>
      <c r="K7" s="14">
        <v>14.8572506868401</v>
      </c>
      <c r="L7" s="14">
        <v>13.3704725312869</v>
      </c>
    </row>
    <row r="8" spans="1:12" x14ac:dyDescent="0.25">
      <c r="A8" s="13" t="s">
        <v>31</v>
      </c>
      <c r="B8" s="13" t="s">
        <v>32</v>
      </c>
      <c r="C8" s="14">
        <f>_xll.BDH("SX5E Index","PX_POS_EARN_BEFORE_XO_ITEMS","CY 2019","CY 2019","Currency=EUR","Period=CY","FUND_PER=Y","BEST_FPERIOD_OVERRIDE=1GY","Sort=A","Dates=H","DateFormat=P","Fill=—","Direction=H","UseDPDF=Y")</f>
        <v>17.287099999999999</v>
      </c>
      <c r="D8" s="14">
        <f>_xll.BDH("SX5E Index","PX_POS_EARN_BEFORE_XO_ITEMS","CY 2020","CY 2020","Currency=EUR","Period=CY","FUND_PER=Y","BEST_FPERIOD_OVERRIDE=1GY","Sort=A","Dates=H","DateFormat=P","Fill=—","Direction=H","UseDPDF=Y")</f>
        <v>24.831700000000001</v>
      </c>
      <c r="E8" s="14">
        <f>_xll.BDH("SX5E Index","PX_POS_EARN_BEFORE_XO_ITEMS","CY 2021","CY 2021","Currency=EUR","Period=CY","FUND_PER=Y","BEST_FPERIOD_OVERRIDE=1GY","Sort=A","Dates=H","DateFormat=P","Fill=—","Direction=H","UseDPDF=Y")</f>
        <v>17.591999999999999</v>
      </c>
      <c r="F8" s="14">
        <f>_xll.BDH("SX5E Index","PX_POS_EARN_BEFORE_XO_ITEMS","CY 2022","CY 2022","Currency=EUR","Period=CY","FUND_PER=Y","BEST_FPERIOD_OVERRIDE=1GY","Sort=A","Dates=H","DateFormat=P","Fill=—","Direction=H","UseDPDF=Y")</f>
        <v>12.715299999999999</v>
      </c>
      <c r="G8" s="14">
        <f>_xll.BDH("SX5E Index","PX_POS_EARN_BEFORE_XO_ITEMS","CY 2023","CY 2023","Currency=EUR","Period=CY","FUND_PER=Y","BEST_FPERIOD_OVERRIDE=1GY","Sort=A","Dates=H","DateFormat=P","Fill=—","Direction=H","UseDPDF=Y")</f>
        <v>12.8825</v>
      </c>
      <c r="H8" s="14">
        <f>_xll.BDH("SX5E Index","PX_POS_EARN_BEFORE_XO_ITEMS","CY 2024","CY 2024","Currency=EUR","Period=CY","FUND_PER=Y","BEST_FPERIOD_OVERRIDE=1GY","Sort=A","Dates=H","DateFormat=P","Fill=—","Direction=H","UseDPDF=Y")</f>
        <v>14.7719</v>
      </c>
      <c r="I8" s="14">
        <f>_xll.BDH("SX5E Index","PX_POS_EARN_BEFORE_XO_ITEMS","CY 2025","CY 2025","Currency=EUR","Period=CY","FUND_PER=Y","BEST_FPERIOD_OVERRIDE=1GY","Sort=A","Dates=H","DateFormat=P","Fill=—","Direction=H","UseDPDF=Y")</f>
        <v>17.267399999999999</v>
      </c>
      <c r="J8" s="15">
        <v>16.485122</v>
      </c>
      <c r="K8" s="14">
        <v>15.0094946849847</v>
      </c>
      <c r="L8" s="14">
        <v>13.437653728876001</v>
      </c>
    </row>
    <row r="9" spans="1:12" x14ac:dyDescent="0.25">
      <c r="A9" s="13" t="s">
        <v>33</v>
      </c>
      <c r="B9" s="13" t="s">
        <v>34</v>
      </c>
      <c r="C9" s="14">
        <f>_xll.BDH("SX5E Index","PE_BEF_XO_AGGTE","CY 2019","CY 2019","Currency=EUR","Period=CY","FUND_PER=Y","BEST_FPERIOD_OVERRIDE=1GY","Sort=A","Dates=H","DateFormat=P","Fill=—","Direction=H","UseDPDF=Y")</f>
        <v>17.836400000000001</v>
      </c>
      <c r="D9" s="14">
        <f>_xll.BDH("SX5E Index","PE_BEF_XO_AGGTE","CY 2020","CY 2020","Currency=EUR","Period=CY","FUND_PER=Y","BEST_FPERIOD_OVERRIDE=1GY","Sort=A","Dates=H","DateFormat=P","Fill=—","Direction=H","UseDPDF=Y")</f>
        <v>41.218200000000003</v>
      </c>
      <c r="E9" s="14">
        <f>_xll.BDH("SX5E Index","PE_BEF_XO_AGGTE","CY 2021","CY 2021","Currency=EUR","Period=CY","FUND_PER=Y","BEST_FPERIOD_OVERRIDE=1GY","Sort=A","Dates=H","DateFormat=P","Fill=—","Direction=H","UseDPDF=Y")</f>
        <v>17.6065</v>
      </c>
      <c r="F9" s="14">
        <f>_xll.BDH("SX5E Index","PE_BEF_XO_AGGTE","CY 2022","CY 2022","Currency=EUR","Period=CY","FUND_PER=Y","BEST_FPERIOD_OVERRIDE=1GY","Sort=A","Dates=H","DateFormat=P","Fill=—","Direction=H","UseDPDF=Y")</f>
        <v>12.964</v>
      </c>
      <c r="G9" s="14">
        <f>_xll.BDH("SX5E Index","PE_BEF_XO_AGGTE","CY 2023","CY 2023","Currency=EUR","Period=CY","FUND_PER=Y","BEST_FPERIOD_OVERRIDE=1GY","Sort=A","Dates=H","DateFormat=P","Fill=—","Direction=H","UseDPDF=Y")</f>
        <v>13.549099999999999</v>
      </c>
      <c r="H9" s="14">
        <f>_xll.BDH("SX5E Index","PE_BEF_XO_AGGTE","CY 2024","CY 2024","Currency=EUR","Period=CY","FUND_PER=Y","BEST_FPERIOD_OVERRIDE=1GY","Sort=A","Dates=H","DateFormat=P","Fill=—","Direction=H","UseDPDF=Y")</f>
        <v>15.0122</v>
      </c>
      <c r="I9" s="14">
        <f>_xll.BDH("SX5E Index","PE_BEF_XO_AGGTE","CY 2025","CY 2025","Currency=EUR","Period=CY","FUND_PER=Y","BEST_FPERIOD_OVERRIDE=1GY","Sort=A","Dates=H","DateFormat=P","Fill=—","Direction=H","UseDPDF=Y")</f>
        <v>17.310199999999998</v>
      </c>
      <c r="J9" s="15">
        <v>16.747578000000001</v>
      </c>
      <c r="K9" s="14"/>
      <c r="L9" s="14"/>
    </row>
    <row r="10" spans="1:12" x14ac:dyDescent="0.25">
      <c r="A10" s="13" t="s">
        <v>35</v>
      </c>
      <c r="B10" s="13" t="s">
        <v>36</v>
      </c>
      <c r="C10" s="14">
        <f>_xll.BDH("SX5E Index","PX_TO_BOOK_RATIO","CY 2019","CY 2019","Currency=EUR","Period=CY","FUND_PER=Y","BEST_FPERIOD_OVERRIDE=1GY","Sort=A","Dates=H","DateFormat=P","Fill=—","Direction=H","UseDPDF=Y")</f>
        <v>1.7985</v>
      </c>
      <c r="D10" s="14">
        <f>_xll.BDH("SX5E Index","PX_TO_BOOK_RATIO","CY 2020","CY 2020","Currency=EUR","Period=CY","FUND_PER=Y","BEST_FPERIOD_OVERRIDE=1GY","Sort=A","Dates=H","DateFormat=P","Fill=—","Direction=H","UseDPDF=Y")</f>
        <v>1.9981</v>
      </c>
      <c r="E10" s="14">
        <f>_xll.BDH("SX5E Index","PX_TO_BOOK_RATIO","CY 2021","CY 2021","Currency=EUR","Period=CY","FUND_PER=Y","BEST_FPERIOD_OVERRIDE=1GY","Sort=A","Dates=H","DateFormat=P","Fill=—","Direction=H","UseDPDF=Y")</f>
        <v>2.1785000000000001</v>
      </c>
      <c r="F10" s="14">
        <f>_xll.BDH("SX5E Index","PX_TO_BOOK_RATIO","CY 2022","CY 2022","Currency=EUR","Period=CY","FUND_PER=Y","BEST_FPERIOD_OVERRIDE=1GY","Sort=A","Dates=H","DateFormat=P","Fill=—","Direction=H","UseDPDF=Y")</f>
        <v>1.7544</v>
      </c>
      <c r="G10" s="14">
        <f>_xll.BDH("SX5E Index","PX_TO_BOOK_RATIO","CY 2023","CY 2023","Currency=EUR","Period=CY","FUND_PER=Y","BEST_FPERIOD_OVERRIDE=1GY","Sort=A","Dates=H","DateFormat=P","Fill=—","Direction=H","UseDPDF=Y")</f>
        <v>1.9297</v>
      </c>
      <c r="H10" s="14">
        <f>_xll.BDH("SX5E Index","PX_TO_BOOK_RATIO","CY 2024","CY 2024","Currency=EUR","Period=CY","FUND_PER=Y","BEST_FPERIOD_OVERRIDE=1GY","Sort=A","Dates=H","DateFormat=P","Fill=—","Direction=H","UseDPDF=Y")</f>
        <v>2.0499999999999998</v>
      </c>
      <c r="I10" s="14">
        <f>_xll.BDH("SX5E Index","PX_TO_BOOK_RATIO","CY 2025","CY 2025","Currency=EUR","Period=CY","FUND_PER=Y","BEST_FPERIOD_OVERRIDE=1GY","Sort=A","Dates=H","DateFormat=P","Fill=—","Direction=H","UseDPDF=Y")</f>
        <v>2.4767000000000001</v>
      </c>
      <c r="J10" s="15">
        <v>2.2918059999999998</v>
      </c>
      <c r="K10" s="14">
        <v>2.0937410421943699</v>
      </c>
      <c r="L10" s="14">
        <v>1.93800015172841</v>
      </c>
    </row>
    <row r="11" spans="1:12" x14ac:dyDescent="0.25">
      <c r="A11" s="13" t="s">
        <v>37</v>
      </c>
      <c r="B11" s="13" t="s">
        <v>38</v>
      </c>
      <c r="C11" s="14">
        <f>_xll.BDH("SX5E Index","CURRENT_EV_TO_12M_SALES","CY 2019","CY 2019","Currency=EUR","Period=CY","FUND_PER=Y","BEST_FPERIOD_OVERRIDE=1GY","FA_ADJUSTED=GAAP","Sort=A","Dates=H","DateFormat=P","Fill=—","Direction=H","UseDPDF=Y")</f>
        <v>2.0922999999999998</v>
      </c>
      <c r="D11" s="14">
        <f>_xll.BDH("SX5E Index","CURRENT_EV_TO_12M_SALES","CY 2020","CY 2020","Currency=EUR","Period=CY","FUND_PER=Y","BEST_FPERIOD_OVERRIDE=1GY","FA_ADJUSTED=GAAP","Sort=A","Dates=H","DateFormat=P","Fill=—","Direction=H","UseDPDF=Y")</f>
        <v>2.0802</v>
      </c>
      <c r="E11" s="14">
        <f>_xll.BDH("SX5E Index","CURRENT_EV_TO_12M_SALES","CY 2021","CY 2021","Currency=EUR","Period=CY","FUND_PER=Y","BEST_FPERIOD_OVERRIDE=1GY","FA_ADJUSTED=GAAP","Sort=A","Dates=H","DateFormat=P","Fill=—","Direction=H","UseDPDF=Y")</f>
        <v>2.2700999999999998</v>
      </c>
      <c r="F11" s="14">
        <f>_xll.BDH("SX5E Index","CURRENT_EV_TO_12M_SALES","CY 2022","CY 2022","Currency=EUR","Period=CY","FUND_PER=Y","BEST_FPERIOD_OVERRIDE=1GY","FA_ADJUSTED=GAAP","Sort=A","Dates=H","DateFormat=P","Fill=—","Direction=H","UseDPDF=Y")</f>
        <v>1.7630999999999999</v>
      </c>
      <c r="G11" s="14">
        <f>_xll.BDH("SX5E Index","CURRENT_EV_TO_12M_SALES","CY 2023","CY 2023","Currency=EUR","Period=CY","FUND_PER=Y","BEST_FPERIOD_OVERRIDE=1GY","FA_ADJUSTED=GAAP","Sort=A","Dates=H","DateFormat=P","Fill=—","Direction=H","UseDPDF=Y")</f>
        <v>1.9604999999999999</v>
      </c>
      <c r="H11" s="14">
        <f>_xll.BDH("SX5E Index","CURRENT_EV_TO_12M_SALES","CY 2024","CY 2024","Currency=EUR","Period=CY","FUND_PER=Y","BEST_FPERIOD_OVERRIDE=1GY","FA_ADJUSTED=GAAP","Sort=A","Dates=H","DateFormat=P","Fill=—","Direction=H","UseDPDF=Y")</f>
        <v>2.0594999999999999</v>
      </c>
      <c r="I11" s="14">
        <f>_xll.BDH("SX5E Index","CURRENT_EV_TO_12M_SALES","CY 2025","CY 2025","Currency=EUR","Period=CY","FUND_PER=Y","BEST_FPERIOD_OVERRIDE=1GY","FA_ADJUSTED=GAAP","Sort=A","Dates=H","DateFormat=P","Fill=—","Direction=H","UseDPDF=Y")</f>
        <v>2.4685000000000001</v>
      </c>
      <c r="J11" s="15">
        <v>2.1836129999999998</v>
      </c>
      <c r="K11" s="14"/>
      <c r="L11" s="14"/>
    </row>
    <row r="12" spans="1:12" x14ac:dyDescent="0.25">
      <c r="A12" s="13" t="s">
        <v>39</v>
      </c>
      <c r="B12" s="13" t="s">
        <v>40</v>
      </c>
      <c r="C12" s="14">
        <f>_xll.BDH("SX5E Index","CURRENT_EV_TO_T12M_EBIT","CY 2019","CY 2019","Currency=EUR","Period=CY","FUND_PER=Y","BEST_FPERIOD_OVERRIDE=1GY","FA_ADJUSTED=GAAP","Sort=A","Dates=H","DateFormat=P","Fill=—","Direction=H","UseDPDF=Y")</f>
        <v>19.0533</v>
      </c>
      <c r="D12" s="14">
        <f>_xll.BDH("SX5E Index","CURRENT_EV_TO_T12M_EBIT","CY 2020","CY 2020","Currency=EUR","Period=CY","FUND_PER=Y","BEST_FPERIOD_OVERRIDE=1GY","FA_ADJUSTED=GAAP","Sort=A","Dates=H","DateFormat=P","Fill=—","Direction=H","UseDPDF=Y")</f>
        <v>28.541599999999999</v>
      </c>
      <c r="E12" s="14">
        <f>_xll.BDH("SX5E Index","CURRENT_EV_TO_T12M_EBIT","CY 2021","CY 2021","Currency=EUR","Period=CY","FUND_PER=Y","BEST_FPERIOD_OVERRIDE=1GY","FA_ADJUSTED=GAAP","Sort=A","Dates=H","DateFormat=P","Fill=—","Direction=H","UseDPDF=Y")</f>
        <v>17.943300000000001</v>
      </c>
      <c r="F12" s="14">
        <f>_xll.BDH("SX5E Index","CURRENT_EV_TO_T12M_EBIT","CY 2022","CY 2022","Currency=EUR","Period=CY","FUND_PER=Y","BEST_FPERIOD_OVERRIDE=1GY","FA_ADJUSTED=GAAP","Sort=A","Dates=H","DateFormat=P","Fill=—","Direction=H","UseDPDF=Y")</f>
        <v>12.779199999999999</v>
      </c>
      <c r="G12" s="14">
        <f>_xll.BDH("SX5E Index","CURRENT_EV_TO_T12M_EBIT","CY 2023","CY 2023","Currency=EUR","Period=CY","FUND_PER=Y","BEST_FPERIOD_OVERRIDE=1GY","FA_ADJUSTED=GAAP","Sort=A","Dates=H","DateFormat=P","Fill=—","Direction=H","UseDPDF=Y")</f>
        <v>14.0923</v>
      </c>
      <c r="H12" s="14">
        <f>_xll.BDH("SX5E Index","CURRENT_EV_TO_T12M_EBIT","CY 2024","CY 2024","Currency=EUR","Period=CY","FUND_PER=Y","BEST_FPERIOD_OVERRIDE=1GY","FA_ADJUSTED=GAAP","Sort=A","Dates=H","DateFormat=P","Fill=—","Direction=H","UseDPDF=Y")</f>
        <v>15.0609</v>
      </c>
      <c r="I12" s="14">
        <f>_xll.BDH("SX5E Index","CURRENT_EV_TO_T12M_EBIT","CY 2025","CY 2025","Currency=EUR","Period=CY","FUND_PER=Y","BEST_FPERIOD_OVERRIDE=1GY","FA_ADJUSTED=GAAP","Sort=A","Dates=H","DateFormat=P","Fill=—","Direction=H","UseDPDF=Y")</f>
        <v>17.582699999999999</v>
      </c>
      <c r="J12" s="15">
        <v>16.675965000000001</v>
      </c>
      <c r="K12" s="14"/>
      <c r="L12" s="14"/>
    </row>
    <row r="13" spans="1:12" x14ac:dyDescent="0.25">
      <c r="A13" s="13" t="s">
        <v>41</v>
      </c>
      <c r="B13" s="13" t="s">
        <v>42</v>
      </c>
      <c r="C13" s="14">
        <f>_xll.BDH("SX5E Index","CURRENT_EV_TO_T12M_EBITDA","CY 2019","CY 2019","Currency=EUR","Period=CY","FUND_PER=Y","BEST_FPERIOD_OVERRIDE=1GY","FA_ADJUSTED=GAAP","Sort=A","Dates=H","DateFormat=P","Fill=—","Direction=H","UseDPDF=Y")</f>
        <v>12.4376</v>
      </c>
      <c r="D13" s="14">
        <f>_xll.BDH("SX5E Index","CURRENT_EV_TO_T12M_EBITDA","CY 2020","CY 2020","Currency=EUR","Period=CY","FUND_PER=Y","BEST_FPERIOD_OVERRIDE=1GY","FA_ADJUSTED=GAAP","Sort=A","Dates=H","DateFormat=P","Fill=—","Direction=H","UseDPDF=Y")</f>
        <v>15.606999999999999</v>
      </c>
      <c r="E13" s="14">
        <f>_xll.BDH("SX5E Index","CURRENT_EV_TO_T12M_EBITDA","CY 2021","CY 2021","Currency=EUR","Period=CY","FUND_PER=Y","BEST_FPERIOD_OVERRIDE=1GY","FA_ADJUSTED=GAAP","Sort=A","Dates=H","DateFormat=P","Fill=—","Direction=H","UseDPDF=Y")</f>
        <v>12.5487</v>
      </c>
      <c r="F13" s="14">
        <f>_xll.BDH("SX5E Index","CURRENT_EV_TO_T12M_EBITDA","CY 2022","CY 2022","Currency=EUR","Period=CY","FUND_PER=Y","BEST_FPERIOD_OVERRIDE=1GY","FA_ADJUSTED=GAAP","Sort=A","Dates=H","DateFormat=P","Fill=—","Direction=H","UseDPDF=Y")</f>
        <v>9.1658000000000008</v>
      </c>
      <c r="G13" s="14">
        <f>_xll.BDH("SX5E Index","CURRENT_EV_TO_T12M_EBITDA","CY 2023","CY 2023","Currency=EUR","Period=CY","FUND_PER=Y","BEST_FPERIOD_OVERRIDE=1GY","FA_ADJUSTED=GAAP","Sort=A","Dates=H","DateFormat=P","Fill=—","Direction=H","UseDPDF=Y")</f>
        <v>10.923</v>
      </c>
      <c r="H13" s="14">
        <f>_xll.BDH("SX5E Index","CURRENT_EV_TO_T12M_EBITDA","CY 2024","CY 2024","Currency=EUR","Period=CY","FUND_PER=Y","BEST_FPERIOD_OVERRIDE=1GY","FA_ADJUSTED=GAAP","Sort=A","Dates=H","DateFormat=P","Fill=—","Direction=H","UseDPDF=Y")</f>
        <v>11.741300000000001</v>
      </c>
      <c r="I13" s="14">
        <f>_xll.BDH("SX5E Index","CURRENT_EV_TO_T12M_EBITDA","CY 2025","CY 2025","Currency=EUR","Period=CY","FUND_PER=Y","BEST_FPERIOD_OVERRIDE=1GY","FA_ADJUSTED=GAAP","Sort=A","Dates=H","DateFormat=P","Fill=—","Direction=H","UseDPDF=Y")</f>
        <v>13.510300000000001</v>
      </c>
      <c r="J13" s="15">
        <v>12.737705999999999</v>
      </c>
      <c r="K13" s="14">
        <v>11.2318171209475</v>
      </c>
      <c r="L13" s="14">
        <v>10.1959297774081</v>
      </c>
    </row>
    <row r="14" spans="1:12" x14ac:dyDescent="0.25">
      <c r="A14" s="19" t="s">
        <v>43</v>
      </c>
      <c r="B14" s="19" t="s">
        <v>44</v>
      </c>
      <c r="C14" s="20">
        <f>_xll.BDH("SX5E Index","EQY_DVD_YLD_12M","CY 2019","CY 2019","Currency=EUR","Period=CY","FUND_PER=Y","BEST_FPERIOD_OVERRIDE=1GY","Sort=A","Dates=H","DateFormat=P","Fill=—","Direction=H","UseDPDF=Y")</f>
        <v>3.2694000000000001</v>
      </c>
      <c r="D14" s="20">
        <f>_xll.BDH("SX5E Index","EQY_DVD_YLD_12M","CY 2020","CY 2020","Currency=EUR","Period=CY","FUND_PER=Y","BEST_FPERIOD_OVERRIDE=1GY","Sort=A","Dates=H","DateFormat=P","Fill=—","Direction=H","UseDPDF=Y")</f>
        <v>2.1840999999999999</v>
      </c>
      <c r="E14" s="20">
        <f>_xll.BDH("SX5E Index","EQY_DVD_YLD_12M","CY 2021","CY 2021","Currency=EUR","Period=CY","FUND_PER=Y","BEST_FPERIOD_OVERRIDE=1GY","Sort=A","Dates=H","DateFormat=P","Fill=—","Direction=H","UseDPDF=Y")</f>
        <v>2.3757999999999999</v>
      </c>
      <c r="F14" s="20">
        <f>_xll.BDH("SX5E Index","EQY_DVD_YLD_12M","CY 2022","CY 2022","Currency=EUR","Period=CY","FUND_PER=Y","BEST_FPERIOD_OVERRIDE=1GY","Sort=A","Dates=H","DateFormat=P","Fill=—","Direction=H","UseDPDF=Y")</f>
        <v>3.5325000000000002</v>
      </c>
      <c r="G14" s="20">
        <f>_xll.BDH("SX5E Index","EQY_DVD_YLD_12M","CY 2023","CY 2023","Currency=EUR","Period=CY","FUND_PER=Y","BEST_FPERIOD_OVERRIDE=1GY","Sort=A","Dates=H","DateFormat=P","Fill=—","Direction=H","UseDPDF=Y")</f>
        <v>3.15</v>
      </c>
      <c r="H14" s="20">
        <f>_xll.BDH("SX5E Index","EQY_DVD_YLD_12M","CY 2024","CY 2024","Currency=EUR","Period=CY","FUND_PER=Y","BEST_FPERIOD_OVERRIDE=1GY","Sort=A","Dates=H","DateFormat=P","Fill=—","Direction=H","UseDPDF=Y")</f>
        <v>3.2235</v>
      </c>
      <c r="I14" s="20">
        <f>_xll.BDH("SX5E Index","EQY_DVD_YLD_12M","CY 2025","CY 2025","Currency=EUR","Period=CY","FUND_PER=Y","BEST_FPERIOD_OVERRIDE=1GY","Sort=A","Dates=H","DateFormat=P","Fill=—","Direction=H","UseDPDF=Y")</f>
        <v>2.7440000000000002</v>
      </c>
      <c r="J14" s="21">
        <v>2.9364499999999998</v>
      </c>
      <c r="K14" s="20">
        <v>3.2688920991466501</v>
      </c>
      <c r="L14" s="20">
        <v>3.6442955688838099</v>
      </c>
    </row>
    <row r="15" spans="1:12" x14ac:dyDescent="0.25">
      <c r="A15" s="13"/>
      <c r="B15" s="16"/>
      <c r="C15" s="16"/>
      <c r="D15" s="16"/>
      <c r="E15" s="16"/>
      <c r="F15" s="16"/>
      <c r="G15" s="16"/>
      <c r="H15" s="16"/>
      <c r="I15" s="16"/>
      <c r="J15" s="17"/>
      <c r="K15" s="16"/>
      <c r="L15" s="16"/>
    </row>
    <row r="16" spans="1:12" x14ac:dyDescent="0.25">
      <c r="A16" s="10" t="s">
        <v>45</v>
      </c>
      <c r="B16" s="11"/>
      <c r="C16" s="11"/>
      <c r="D16" s="11"/>
      <c r="E16" s="11"/>
      <c r="F16" s="11"/>
      <c r="G16" s="11"/>
      <c r="H16" s="11"/>
      <c r="I16" s="11"/>
      <c r="J16" s="12"/>
      <c r="K16" s="11"/>
      <c r="L16" s="11"/>
    </row>
    <row r="17" spans="1:12" x14ac:dyDescent="0.25">
      <c r="A17" s="13" t="s">
        <v>46</v>
      </c>
      <c r="B17" s="13" t="s">
        <v>47</v>
      </c>
      <c r="C17" s="14">
        <f>_xll.BDH("SX5E Index","GROSS_MARGIN","CY 2019","CY 2019","Currency=EUR","Period=CY","FUND_PER=Y","BEST_FPERIOD_OVERRIDE=1GY","FA_ADJUSTED=GAAP","Sort=A","Dates=H","DateFormat=P","Fill=—","Direction=H","UseDPDF=Y")</f>
        <v>37.064100000000003</v>
      </c>
      <c r="D17" s="14">
        <f>_xll.BDH("SX5E Index","GROSS_MARGIN","CY 2020","CY 2020","Currency=EUR","Period=CY","FUND_PER=Y","BEST_FPERIOD_OVERRIDE=1GY","FA_ADJUSTED=GAAP","Sort=A","Dates=H","DateFormat=P","Fill=—","Direction=H","UseDPDF=Y")</f>
        <v>34.544899999999998</v>
      </c>
      <c r="E17" s="14">
        <f>_xll.BDH("SX5E Index","GROSS_MARGIN","CY 2021","CY 2021","Currency=EUR","Period=CY","FUND_PER=Y","BEST_FPERIOD_OVERRIDE=1GY","FA_ADJUSTED=GAAP","Sort=A","Dates=H","DateFormat=P","Fill=—","Direction=H","UseDPDF=Y")</f>
        <v>30.389099999999999</v>
      </c>
      <c r="F17" s="14">
        <f>_xll.BDH("SX5E Index","GROSS_MARGIN","CY 2022","CY 2022","Currency=EUR","Period=CY","FUND_PER=Y","BEST_FPERIOD_OVERRIDE=1GY","FA_ADJUSTED=GAAP","Sort=A","Dates=H","DateFormat=P","Fill=—","Direction=H","UseDPDF=Y")</f>
        <v>38.328200000000002</v>
      </c>
      <c r="G17" s="14">
        <f>_xll.BDH("SX5E Index","GROSS_MARGIN","CY 2023","CY 2023","Currency=EUR","Period=CY","FUND_PER=Y","BEST_FPERIOD_OVERRIDE=1GY","FA_ADJUSTED=GAAP","Sort=A","Dates=H","DateFormat=P","Fill=—","Direction=H","UseDPDF=Y")</f>
        <v>36.758600000000001</v>
      </c>
      <c r="H17" s="14">
        <f>_xll.BDH("SX5E Index","GROSS_MARGIN","CY 2024","CY 2024","Currency=EUR","Period=CY","FUND_PER=Y","BEST_FPERIOD_OVERRIDE=1GY","FA_ADJUSTED=GAAP","Sort=A","Dates=H","DateFormat=P","Fill=—","Direction=H","UseDPDF=Y")</f>
        <v>37.838700000000003</v>
      </c>
      <c r="I17" s="14">
        <f>_xll.BDH("SX5E Index","GROSS_MARGIN","CY 2025","CY 2025","Currency=EUR","Period=CY","FUND_PER=Y","BEST_FPERIOD_OVERRIDE=1GY","FA_ADJUSTED=GAAP","Sort=A","Dates=H","DateFormat=P","Fill=—","Direction=H","UseDPDF=Y")</f>
        <v>38.293700000000001</v>
      </c>
      <c r="J17" s="15">
        <v>30.426003000000001</v>
      </c>
      <c r="K17" s="14">
        <v>40.106620096259697</v>
      </c>
      <c r="L17" s="14">
        <v>41.755847349501501</v>
      </c>
    </row>
    <row r="18" spans="1:12" x14ac:dyDescent="0.25">
      <c r="A18" s="13" t="s">
        <v>48</v>
      </c>
      <c r="B18" s="13" t="s">
        <v>49</v>
      </c>
      <c r="C18" s="14">
        <f>_xll.BDH("SX5E Index","OPER_MARGIN","CY 2019","CY 2019","Currency=EUR","Period=CY","FUND_PER=Y","BEST_FPERIOD_OVERRIDE=1GY","FA_ADJUSTED=GAAP","Sort=A","Dates=H","DateFormat=P","Fill=—","Direction=H","UseDPDF=Y")</f>
        <v>10.981299999999999</v>
      </c>
      <c r="D18" s="14">
        <f>_xll.BDH("SX5E Index","OPER_MARGIN","CY 2020","CY 2020","Currency=EUR","Period=CY","FUND_PER=Y","BEST_FPERIOD_OVERRIDE=1GY","FA_ADJUSTED=GAAP","Sort=A","Dates=H","DateFormat=P","Fill=—","Direction=H","UseDPDF=Y")</f>
        <v>7.2881999999999998</v>
      </c>
      <c r="E18" s="14">
        <f>_xll.BDH("SX5E Index","OPER_MARGIN","CY 2021","CY 2021","Currency=EUR","Period=CY","FUND_PER=Y","BEST_FPERIOD_OVERRIDE=1GY","FA_ADJUSTED=GAAP","Sort=A","Dates=H","DateFormat=P","Fill=—","Direction=H","UseDPDF=Y")</f>
        <v>12.651300000000001</v>
      </c>
      <c r="F18" s="14">
        <f>_xll.BDH("SX5E Index","OPER_MARGIN","CY 2022","CY 2022","Currency=EUR","Period=CY","FUND_PER=Y","BEST_FPERIOD_OVERRIDE=1GY","FA_ADJUSTED=GAAP","Sort=A","Dates=H","DateFormat=P","Fill=—","Direction=H","UseDPDF=Y")</f>
        <v>13.796900000000001</v>
      </c>
      <c r="G18" s="14">
        <f>_xll.BDH("SX5E Index","OPER_MARGIN","CY 2023","CY 2023","Currency=EUR","Period=CY","FUND_PER=Y","BEST_FPERIOD_OVERRIDE=1GY","FA_ADJUSTED=GAAP","Sort=A","Dates=H","DateFormat=P","Fill=—","Direction=H","UseDPDF=Y")</f>
        <v>13.911799999999999</v>
      </c>
      <c r="H18" s="14">
        <f>_xll.BDH("SX5E Index","OPER_MARGIN","CY 2024","CY 2024","Currency=EUR","Period=CY","FUND_PER=Y","BEST_FPERIOD_OVERRIDE=1GY","FA_ADJUSTED=GAAP","Sort=A","Dates=H","DateFormat=P","Fill=—","Direction=H","UseDPDF=Y")</f>
        <v>13.6745</v>
      </c>
      <c r="I18" s="14">
        <f>_xll.BDH("SX5E Index","OPER_MARGIN","CY 2025","CY 2025","Currency=EUR","Period=CY","FUND_PER=Y","BEST_FPERIOD_OVERRIDE=1GY","FA_ADJUSTED=GAAP","Sort=A","Dates=H","DateFormat=P","Fill=—","Direction=H","UseDPDF=Y")</f>
        <v>14.039300000000001</v>
      </c>
      <c r="J18" s="15">
        <v>13.094374</v>
      </c>
      <c r="K18" s="14">
        <v>17.792903826242298</v>
      </c>
      <c r="L18" s="14">
        <v>18.532142395596701</v>
      </c>
    </row>
    <row r="19" spans="1:12" x14ac:dyDescent="0.25">
      <c r="A19" s="13" t="s">
        <v>50</v>
      </c>
      <c r="B19" s="13" t="s">
        <v>51</v>
      </c>
      <c r="C19" s="14">
        <f>_xll.BDH("SX5E Index","TRAIL_12M_PROF_MARGIN","CY 2019","CY 2019","Currency=EUR","Period=CY","FUND_PER=Y","BEST_FPERIOD_OVERRIDE=1GY","FA_ADJUSTED=GAAP","Sort=A","Dates=H","DateFormat=P","Fill=—","Direction=H","UseDPDF=Y")</f>
        <v>8.3821999999999992</v>
      </c>
      <c r="D19" s="14">
        <f>_xll.BDH("SX5E Index","TRAIL_12M_PROF_MARGIN","CY 2020","CY 2020","Currency=EUR","Period=CY","FUND_PER=Y","BEST_FPERIOD_OVERRIDE=1GY","FA_ADJUSTED=GAAP","Sort=A","Dates=H","DateFormat=P","Fill=—","Direction=H","UseDPDF=Y")</f>
        <v>7.2693000000000003</v>
      </c>
      <c r="E19" s="14">
        <f>_xll.BDH("SX5E Index","TRAIL_12M_PROF_MARGIN","CY 2021","CY 2021","Currency=EUR","Period=CY","FUND_PER=Y","BEST_FPERIOD_OVERRIDE=1GY","FA_ADJUSTED=GAAP","Sort=A","Dates=H","DateFormat=P","Fill=—","Direction=H","UseDPDF=Y")</f>
        <v>9.6104000000000003</v>
      </c>
      <c r="F19" s="14">
        <f>_xll.BDH("SX5E Index","TRAIL_12M_PROF_MARGIN","CY 2022","CY 2022","Currency=EUR","Period=CY","FUND_PER=Y","BEST_FPERIOD_OVERRIDE=1GY","FA_ADJUSTED=GAAP","Sort=A","Dates=H","DateFormat=P","Fill=—","Direction=H","UseDPDF=Y")</f>
        <v>10.591699999999999</v>
      </c>
      <c r="G19" s="14">
        <f>_xll.BDH("SX5E Index","TRAIL_12M_PROF_MARGIN","CY 2023","CY 2023","Currency=EUR","Period=CY","FUND_PER=Y","BEST_FPERIOD_OVERRIDE=1GY","FA_ADJUSTED=GAAP","Sort=A","Dates=H","DateFormat=P","Fill=—","Direction=H","UseDPDF=Y")</f>
        <v>10.566700000000001</v>
      </c>
      <c r="H19" s="14">
        <f>_xll.BDH("SX5E Index","TRAIL_12M_PROF_MARGIN","CY 2024","CY 2024","Currency=EUR","Period=CY","FUND_PER=Y","BEST_FPERIOD_OVERRIDE=1GY","FA_ADJUSTED=GAAP","Sort=A","Dates=H","DateFormat=P","Fill=—","Direction=H","UseDPDF=Y")</f>
        <v>10.413399999999999</v>
      </c>
      <c r="I19" s="14">
        <f>_xll.BDH("SX5E Index","TRAIL_12M_PROF_MARGIN","CY 2025","CY 2025","Currency=EUR","Period=CY","FUND_PER=Y","BEST_FPERIOD_OVERRIDE=1GY","FA_ADJUSTED=GAAP","Sort=A","Dates=H","DateFormat=P","Fill=—","Direction=H","UseDPDF=Y")</f>
        <v>10.594900000000001</v>
      </c>
      <c r="J19" s="15">
        <v>10.665737999999999</v>
      </c>
      <c r="K19" s="14">
        <v>11.2416255395752</v>
      </c>
      <c r="L19" s="14">
        <v>11.865160387444901</v>
      </c>
    </row>
    <row r="20" spans="1:12" x14ac:dyDescent="0.25">
      <c r="A20" s="13" t="s">
        <v>52</v>
      </c>
      <c r="B20" s="13" t="s">
        <v>53</v>
      </c>
      <c r="C20" s="14">
        <f>_xll.BDH("SX5E Index","RETURN_ON_ASSET","CY 2019","CY 2019","Currency=EUR","Period=CY","FUND_PER=Y","BEST_FPERIOD_OVERRIDE=1GY","FA_ADJUSTED=GAAP","Sort=A","Dates=H","DateFormat=P","Fill=—","Direction=H","UseDPDF=Y")</f>
        <v>1.1737</v>
      </c>
      <c r="D20" s="14">
        <f>_xll.BDH("SX5E Index","RETURN_ON_ASSET","CY 2020","CY 2020","Currency=EUR","Period=CY","FUND_PER=Y","BEST_FPERIOD_OVERRIDE=1GY","FA_ADJUSTED=GAAP","Sort=A","Dates=H","DateFormat=P","Fill=—","Direction=H","UseDPDF=Y")</f>
        <v>0.60670000000000002</v>
      </c>
      <c r="E20" s="14">
        <f>_xll.BDH("SX5E Index","RETURN_ON_ASSET","CY 2021","CY 2021","Currency=EUR","Period=CY","FUND_PER=Y","BEST_FPERIOD_OVERRIDE=1GY","FA_ADJUSTED=GAAP","Sort=A","Dates=H","DateFormat=P","Fill=—","Direction=H","UseDPDF=Y")</f>
        <v>1.4965999999999999</v>
      </c>
      <c r="F20" s="14">
        <f>_xll.BDH("SX5E Index","RETURN_ON_ASSET","CY 2022","CY 2022","Currency=EUR","Period=CY","FUND_PER=Y","BEST_FPERIOD_OVERRIDE=1GY","FA_ADJUSTED=GAAP","Sort=A","Dates=H","DateFormat=P","Fill=—","Direction=H","UseDPDF=Y")</f>
        <v>1.627</v>
      </c>
      <c r="G20" s="14">
        <f>_xll.BDH("SX5E Index","RETURN_ON_ASSET","CY 2023","CY 2023","Currency=EUR","Period=CY","FUND_PER=Y","BEST_FPERIOD_OVERRIDE=1GY","FA_ADJUSTED=GAAP","Sort=A","Dates=H","DateFormat=P","Fill=—","Direction=H","UseDPDF=Y")</f>
        <v>1.752</v>
      </c>
      <c r="H20" s="14">
        <f>_xll.BDH("SX5E Index","RETURN_ON_ASSET","CY 2024","CY 2024","Currency=EUR","Period=CY","FUND_PER=Y","BEST_FPERIOD_OVERRIDE=1GY","FA_ADJUSTED=GAAP","Sort=A","Dates=H","DateFormat=P","Fill=—","Direction=H","UseDPDF=Y")</f>
        <v>1.5708</v>
      </c>
      <c r="I20" s="14">
        <f>_xll.BDH("SX5E Index","RETURN_ON_ASSET","CY 2025","CY 2025","Currency=EUR","Period=CY","FUND_PER=Y","BEST_FPERIOD_OVERRIDE=1GY","FA_ADJUSTED=GAAP","Sort=A","Dates=H","DateFormat=P","Fill=—","Direction=H","UseDPDF=Y")</f>
        <v>1.5269999999999999</v>
      </c>
      <c r="J20" s="15">
        <v>1.5032220000000001</v>
      </c>
      <c r="K20" s="14">
        <v>1.90285521390455</v>
      </c>
      <c r="L20" s="14">
        <v>2.12638895399868</v>
      </c>
    </row>
    <row r="21" spans="1:12" x14ac:dyDescent="0.25">
      <c r="A21" s="13" t="s">
        <v>54</v>
      </c>
      <c r="B21" s="13" t="s">
        <v>55</v>
      </c>
      <c r="C21" s="14">
        <f>_xll.BDH("SX5E Index","RETURN_COM_EQY","CY 2019","CY 2019","Currency=EUR","Period=CY","FUND_PER=Y","BEST_FPERIOD_OVERRIDE=1GY","FA_ADJUSTED=GAAP","Sort=A","Dates=H","DateFormat=P","Fill=—","Direction=H","UseDPDF=Y")</f>
        <v>9.9730000000000008</v>
      </c>
      <c r="D21" s="14">
        <f>_xll.BDH("SX5E Index","RETURN_COM_EQY","CY 2020","CY 2020","Currency=EUR","Period=CY","FUND_PER=Y","BEST_FPERIOD_OVERRIDE=1GY","FA_ADJUSTED=GAAP","Sort=A","Dates=H","DateFormat=P","Fill=—","Direction=H","UseDPDF=Y")</f>
        <v>5.9325000000000001</v>
      </c>
      <c r="E21" s="14">
        <f>_xll.BDH("SX5E Index","RETURN_COM_EQY","CY 2021","CY 2021","Currency=EUR","Period=CY","FUND_PER=Y","BEST_FPERIOD_OVERRIDE=1GY","FA_ADJUSTED=GAAP","Sort=A","Dates=H","DateFormat=P","Fill=—","Direction=H","UseDPDF=Y")</f>
        <v>12.1355</v>
      </c>
      <c r="F21" s="14">
        <f>_xll.BDH("SX5E Index","RETURN_COM_EQY","CY 2022","CY 2022","Currency=EUR","Period=CY","FUND_PER=Y","BEST_FPERIOD_OVERRIDE=1GY","FA_ADJUSTED=GAAP","Sort=A","Dates=H","DateFormat=P","Fill=—","Direction=H","UseDPDF=Y")</f>
        <v>13.620200000000001</v>
      </c>
      <c r="G21" s="14">
        <f>_xll.BDH("SX5E Index","RETURN_COM_EQY","CY 2023","CY 2023","Currency=EUR","Period=CY","FUND_PER=Y","BEST_FPERIOD_OVERRIDE=1GY","FA_ADJUSTED=GAAP","Sort=A","Dates=H","DateFormat=P","Fill=—","Direction=H","UseDPDF=Y")</f>
        <v>14.2819</v>
      </c>
      <c r="H21" s="14">
        <f>_xll.BDH("SX5E Index","RETURN_COM_EQY","CY 2024","CY 2024","Currency=EUR","Period=CY","FUND_PER=Y","BEST_FPERIOD_OVERRIDE=1GY","FA_ADJUSTED=GAAP","Sort=A","Dates=H","DateFormat=P","Fill=—","Direction=H","UseDPDF=Y")</f>
        <v>12.831</v>
      </c>
      <c r="I21" s="14">
        <f>_xll.BDH("SX5E Index","RETURN_COM_EQY","CY 2025","CY 2025","Currency=EUR","Period=CY","FUND_PER=Y","BEST_FPERIOD_OVERRIDE=1GY","FA_ADJUSTED=GAAP","Sort=A","Dates=H","DateFormat=P","Fill=—","Direction=H","UseDPDF=Y")</f>
        <v>13.624000000000001</v>
      </c>
      <c r="J21" s="15">
        <v>13.188535999999999</v>
      </c>
      <c r="K21" s="14">
        <v>13.954991850567099</v>
      </c>
      <c r="L21" s="14">
        <v>14.434355280194501</v>
      </c>
    </row>
    <row r="22" spans="1:12" x14ac:dyDescent="0.25">
      <c r="A22" s="18" t="s">
        <v>56</v>
      </c>
      <c r="B22" s="18"/>
      <c r="C22" s="18" t="s">
        <v>57</v>
      </c>
      <c r="D22" s="18"/>
      <c r="E22" s="18"/>
      <c r="F22" s="18"/>
      <c r="G22" s="18"/>
      <c r="H22" s="18"/>
      <c r="I22" s="18"/>
      <c r="J22" s="18"/>
      <c r="K22" s="18"/>
      <c r="L22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EUROSTOX</vt:lpstr>
      <vt:lpstr>VSTOXX</vt:lpstr>
      <vt:lpstr>ACAFP</vt:lpstr>
      <vt:lpstr>Dividend Yield</vt:lpstr>
    </vt:vector>
  </TitlesOfParts>
  <Company>Unimib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m.arienti18@campus.unimib.it</dc:creator>
  <cp:lastModifiedBy>m.arienti18@campus.unimib.it</cp:lastModifiedBy>
  <dcterms:created xsi:type="dcterms:W3CDTF">2026-03-30T08:43:52Z</dcterms:created>
  <dcterms:modified xsi:type="dcterms:W3CDTF">2026-03-30T10:22:28Z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</Properties>
</file>